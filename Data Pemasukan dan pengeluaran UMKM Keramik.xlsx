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f69d82b7f7fbfac0/"/>
    </mc:Choice>
  </mc:AlternateContent>
  <xr:revisionPtr revIDLastSave="0" documentId="8_{89661D8D-67B5-4DA4-B28C-8BBE1DFC8A3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jan" sheetId="1" r:id="rId1"/>
    <sheet name="feb" sheetId="2" r:id="rId2"/>
    <sheet name="mar" sheetId="3" r:id="rId3"/>
    <sheet name="Apr" sheetId="4" r:id="rId4"/>
    <sheet name="juli" sheetId="7" r:id="rId5"/>
    <sheet name="agst" sheetId="8" r:id="rId6"/>
    <sheet name="Sept" sheetId="9" r:id="rId7"/>
    <sheet name="Mei" sheetId="5" r:id="rId8"/>
    <sheet name="juni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29" i="3" l="1"/>
  <c r="A230" i="3"/>
  <c r="A231" i="3"/>
  <c r="A232" i="3"/>
  <c r="A233" i="3"/>
  <c r="A228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12" i="3"/>
  <c r="A201" i="3"/>
  <c r="A202" i="3"/>
  <c r="A203" i="3"/>
  <c r="A204" i="3"/>
  <c r="A205" i="3"/>
  <c r="A206" i="3"/>
  <c r="A207" i="3"/>
  <c r="A208" i="3"/>
  <c r="A209" i="3"/>
  <c r="A200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84" i="3"/>
  <c r="A177" i="3"/>
  <c r="A178" i="3"/>
  <c r="A176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55" i="3"/>
  <c r="A144" i="3"/>
  <c r="A145" i="3"/>
  <c r="A146" i="3"/>
  <c r="A147" i="3"/>
  <c r="A148" i="3"/>
  <c r="A149" i="3"/>
  <c r="A150" i="3"/>
  <c r="A151" i="3"/>
  <c r="A152" i="3"/>
  <c r="A143" i="3"/>
  <c r="A134" i="3"/>
  <c r="A135" i="3"/>
  <c r="A136" i="3"/>
  <c r="A137" i="3"/>
  <c r="A138" i="3"/>
  <c r="A139" i="3"/>
  <c r="A140" i="3"/>
  <c r="A133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08" i="3"/>
  <c r="A99" i="3"/>
  <c r="A100" i="3"/>
  <c r="A101" i="3"/>
  <c r="A102" i="3"/>
  <c r="A103" i="3"/>
  <c r="A104" i="3"/>
  <c r="A105" i="3"/>
  <c r="A98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75" i="3"/>
  <c r="A71" i="3"/>
  <c r="A72" i="3"/>
  <c r="A70" i="3"/>
  <c r="A56" i="3"/>
  <c r="A57" i="3"/>
  <c r="A58" i="3"/>
  <c r="A59" i="3"/>
  <c r="A60" i="3"/>
  <c r="A61" i="3"/>
  <c r="A62" i="3"/>
  <c r="A63" i="3"/>
  <c r="A64" i="3"/>
  <c r="A65" i="3"/>
  <c r="A66" i="3"/>
  <c r="A67" i="3"/>
  <c r="A55" i="3"/>
  <c r="A49" i="3"/>
  <c r="A50" i="3"/>
  <c r="A51" i="3"/>
  <c r="A52" i="3"/>
  <c r="A48" i="3"/>
  <c r="A38" i="3"/>
  <c r="A39" i="3"/>
  <c r="A40" i="3"/>
  <c r="A41" i="3"/>
  <c r="A42" i="3"/>
  <c r="A43" i="3"/>
  <c r="A44" i="3"/>
  <c r="A45" i="3"/>
  <c r="A37" i="3"/>
  <c r="A23" i="3"/>
  <c r="A24" i="3"/>
  <c r="A25" i="3"/>
  <c r="A26" i="3"/>
  <c r="A27" i="3"/>
  <c r="A28" i="3"/>
  <c r="A29" i="3"/>
  <c r="A30" i="3"/>
  <c r="A31" i="3"/>
  <c r="A32" i="3"/>
  <c r="A33" i="3"/>
  <c r="A34" i="3"/>
  <c r="A22" i="3"/>
  <c r="A11" i="3"/>
  <c r="A12" i="3"/>
  <c r="A13" i="3"/>
  <c r="A14" i="3"/>
  <c r="A15" i="3"/>
  <c r="A16" i="3"/>
  <c r="A17" i="3"/>
  <c r="A18" i="3"/>
  <c r="A19" i="3"/>
  <c r="A10" i="3"/>
  <c r="A311" i="2"/>
  <c r="A312" i="2"/>
  <c r="A310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283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58" i="2"/>
  <c r="A249" i="2"/>
  <c r="A250" i="2"/>
  <c r="A251" i="2"/>
  <c r="A252" i="2"/>
  <c r="A253" i="2"/>
  <c r="A254" i="2"/>
  <c r="A255" i="2"/>
  <c r="A248" i="2"/>
  <c r="A241" i="2"/>
  <c r="A242" i="2"/>
  <c r="A243" i="2"/>
  <c r="A244" i="2"/>
  <c r="A245" i="2"/>
  <c r="A240" i="2"/>
  <c r="A231" i="2"/>
  <c r="A232" i="2"/>
  <c r="A233" i="2"/>
  <c r="A234" i="2"/>
  <c r="A235" i="2"/>
  <c r="A236" i="2"/>
  <c r="A237" i="2"/>
  <c r="A230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15" i="2"/>
  <c r="A210" i="2"/>
  <c r="A211" i="2"/>
  <c r="A212" i="2"/>
  <c r="A209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190" i="2"/>
  <c r="A182" i="2"/>
  <c r="A183" i="2"/>
  <c r="A184" i="2"/>
  <c r="A185" i="2"/>
  <c r="A186" i="2"/>
  <c r="A187" i="2"/>
  <c r="A181" i="2"/>
  <c r="A168" i="2"/>
  <c r="A169" i="2"/>
  <c r="A170" i="2"/>
  <c r="A171" i="2"/>
  <c r="A172" i="2"/>
  <c r="A173" i="2"/>
  <c r="A174" i="2"/>
  <c r="A175" i="2"/>
  <c r="A176" i="2"/>
  <c r="A177" i="2"/>
  <c r="A178" i="2"/>
  <c r="A167" i="2"/>
  <c r="A159" i="2"/>
  <c r="A160" i="2"/>
  <c r="A161" i="2"/>
  <c r="A162" i="2"/>
  <c r="A163" i="2"/>
  <c r="A164" i="2"/>
  <c r="A158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41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26" i="2"/>
  <c r="A116" i="2"/>
  <c r="A117" i="2"/>
  <c r="A118" i="2"/>
  <c r="A119" i="2"/>
  <c r="A120" i="2"/>
  <c r="A121" i="2"/>
  <c r="A122" i="2"/>
  <c r="A123" i="2"/>
  <c r="A115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98" i="2"/>
  <c r="A88" i="2"/>
  <c r="A89" i="2"/>
  <c r="A90" i="2"/>
  <c r="A91" i="2"/>
  <c r="A92" i="2"/>
  <c r="A93" i="2"/>
  <c r="A94" i="2"/>
  <c r="A95" i="2"/>
  <c r="A87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69" i="2"/>
  <c r="A57" i="2"/>
  <c r="A58" i="2"/>
  <c r="A59" i="2"/>
  <c r="A60" i="2"/>
  <c r="A61" i="2"/>
  <c r="A62" i="2"/>
  <c r="A63" i="2"/>
  <c r="A64" i="2"/>
  <c r="A65" i="2"/>
  <c r="A66" i="2"/>
  <c r="A5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36" i="2"/>
  <c r="A24" i="2"/>
  <c r="A25" i="2"/>
  <c r="A26" i="2"/>
  <c r="A27" i="2"/>
  <c r="A28" i="2"/>
  <c r="A29" i="2"/>
  <c r="A30" i="2"/>
  <c r="A31" i="2"/>
  <c r="A32" i="2"/>
  <c r="A33" i="2"/>
  <c r="A34" i="2"/>
  <c r="A2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3" i="2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3" i="9"/>
  <c r="H35" i="2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" i="1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21" i="2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" i="3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" i="4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5" i="5"/>
  <c r="H44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3" i="6"/>
  <c r="E16" i="7"/>
  <c r="E4" i="7"/>
  <c r="E5" i="7"/>
  <c r="E6" i="7"/>
  <c r="E7" i="7"/>
  <c r="E8" i="7"/>
  <c r="E9" i="7"/>
  <c r="E10" i="7"/>
  <c r="E11" i="7"/>
  <c r="E12" i="7"/>
  <c r="E13" i="7"/>
  <c r="E14" i="7"/>
  <c r="E15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" i="7"/>
  <c r="E18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" i="8"/>
  <c r="H46" i="8"/>
  <c r="H33" i="7" l="1"/>
  <c r="H42" i="5" l="1"/>
  <c r="H42" i="4" l="1"/>
  <c r="H36" i="3" l="1"/>
  <c r="H41" i="1" l="1"/>
</calcChain>
</file>

<file path=xl/sharedStrings.xml><?xml version="1.0" encoding="utf-8"?>
<sst xmlns="http://schemas.openxmlformats.org/spreadsheetml/2006/main" count="2706" uniqueCount="844">
  <si>
    <t>kuku macan biru 20cm</t>
  </si>
  <si>
    <t>uno 25524 beige 25x25</t>
  </si>
  <si>
    <t>list versace new revo brown</t>
  </si>
  <si>
    <t>plt. Amazon brown 40x40</t>
  </si>
  <si>
    <t>a. zigma cream 30x30</t>
  </si>
  <si>
    <t>mu 408 s.cream</t>
  </si>
  <si>
    <t>plt. Holy grey 40x40</t>
  </si>
  <si>
    <t>a. zulu grey 40x40</t>
  </si>
  <si>
    <t>uno opal blue 25x40</t>
  </si>
  <si>
    <t>milan terios coffee 40x40</t>
  </si>
  <si>
    <t>a. zola brown 20x25</t>
  </si>
  <si>
    <t>kucan maroon 20 cm</t>
  </si>
  <si>
    <t>a. montana d.blue 20x25</t>
  </si>
  <si>
    <t>a. oscar green 30x30</t>
  </si>
  <si>
    <t>aqua</t>
  </si>
  <si>
    <t xml:space="preserve">bensin </t>
  </si>
  <si>
    <t>gas</t>
  </si>
  <si>
    <t>pulsa</t>
  </si>
  <si>
    <t>m. energia grey 25x25</t>
  </si>
  <si>
    <t>uno 25565 beige</t>
  </si>
  <si>
    <t>kuku macan 2 warna black 20 cm</t>
  </si>
  <si>
    <t>plt. Hayden orange décor</t>
  </si>
  <si>
    <t>ar 2261 green 20x20</t>
  </si>
  <si>
    <t>ar 2718 green 20x25</t>
  </si>
  <si>
    <t>a. fonte black 40x40</t>
  </si>
  <si>
    <t>ar 1812 brown 40x40</t>
  </si>
  <si>
    <t>plt. Harper brown 40x40</t>
  </si>
  <si>
    <t>kucan orange 20 cm</t>
  </si>
  <si>
    <t>kucan black 2 warna 20 cm</t>
  </si>
  <si>
    <t>uno altea grey 25x40</t>
  </si>
  <si>
    <t>ar 2718 blue 20x25</t>
  </si>
  <si>
    <t>a. zeva blue 20x25</t>
  </si>
  <si>
    <t>ar 9999 beige 40x40</t>
  </si>
  <si>
    <t>a. oscar black 30x30</t>
  </si>
  <si>
    <t>a. zigma cream 40x40</t>
  </si>
  <si>
    <t>a. muralo 30x30</t>
  </si>
  <si>
    <t>ar 2281 beige 20x20</t>
  </si>
  <si>
    <t>uno 25513 beige</t>
  </si>
  <si>
    <t>a. oscar brown 30x30</t>
  </si>
  <si>
    <t>ar 2251 pink</t>
  </si>
  <si>
    <t>ar 2261 pink 20z20</t>
  </si>
  <si>
    <t>uno altea brown 25x40</t>
  </si>
  <si>
    <t>kuku macan s.brown 20 cm</t>
  </si>
  <si>
    <t>a. zola basic 20x25</t>
  </si>
  <si>
    <t>ar 1812 grey 40x40</t>
  </si>
  <si>
    <t>m. salvatore grey 40x40</t>
  </si>
  <si>
    <t>lemkra fs grey</t>
  </si>
  <si>
    <t>kuku macan orange 20 cm</t>
  </si>
  <si>
    <t>kran 3/4 executive</t>
  </si>
  <si>
    <t>kran 1/2 executive</t>
  </si>
  <si>
    <t>m. golia blue 20x20</t>
  </si>
  <si>
    <t>list davisio blue 20 cm</t>
  </si>
  <si>
    <t>a. corsica maroon 30x30</t>
  </si>
  <si>
    <t>list liontin grey 25 cm</t>
  </si>
  <si>
    <t>m. altima blue</t>
  </si>
  <si>
    <t>m. altima green 25x40</t>
  </si>
  <si>
    <t>list paulo brown 25 cm</t>
  </si>
  <si>
    <t>ts 114 white</t>
  </si>
  <si>
    <t>uno 25517 beige 25x25</t>
  </si>
  <si>
    <t>uno onyx brown 25x40</t>
  </si>
  <si>
    <t>ar 1813 grey 40x40</t>
  </si>
  <si>
    <t>ar 2311 beige</t>
  </si>
  <si>
    <t>uno 25022 cream 40x40</t>
  </si>
  <si>
    <t>kuku macan 2 warna milk brown 20 cm</t>
  </si>
  <si>
    <t>plt. Atlas brown 40x40</t>
  </si>
  <si>
    <t>kuku macan beige 20 cm</t>
  </si>
  <si>
    <t>lemkra fs 210</t>
  </si>
  <si>
    <t xml:space="preserve">fly ash </t>
  </si>
  <si>
    <t>lemkra fs white</t>
  </si>
  <si>
    <t>m. orion beige 40x40</t>
  </si>
  <si>
    <t>kuku macan 2 warna m.brown</t>
  </si>
  <si>
    <t>a. zola blue 20x25</t>
  </si>
  <si>
    <t>a. zeva green 20x25</t>
  </si>
  <si>
    <t>ar 7711 beige 40x40</t>
  </si>
  <si>
    <t>kuku macan maroon 20 cm</t>
  </si>
  <si>
    <t>uno 25523 green 25x25</t>
  </si>
  <si>
    <t>ongkos bongkar</t>
  </si>
  <si>
    <t>gaji</t>
  </si>
  <si>
    <t>pajak</t>
  </si>
  <si>
    <t>lemkra 306 mud brown</t>
  </si>
  <si>
    <t>mu 408 white</t>
  </si>
  <si>
    <t>ar 2671 d.blue 20x20</t>
  </si>
  <si>
    <t>kucan 2 warna d.brown 20 cm</t>
  </si>
  <si>
    <t>list 034 blue 20 cm</t>
  </si>
  <si>
    <t>list davisio green 20 cm</t>
  </si>
  <si>
    <t>m. spect. Orion beige 40x40</t>
  </si>
  <si>
    <t>a, zigma cream 30x30</t>
  </si>
  <si>
    <t>kucan d.green 20 cm</t>
  </si>
  <si>
    <t>a. ocra grey</t>
  </si>
  <si>
    <t>granit ceranosa polos cream 60x60</t>
  </si>
  <si>
    <t xml:space="preserve">mu 408 s.cream </t>
  </si>
  <si>
    <t>kucan versace orange 20 cm</t>
  </si>
  <si>
    <t>kucan black 20 cm</t>
  </si>
  <si>
    <t>kucan dark green 20 cm</t>
  </si>
  <si>
    <t>gr. Crysan crean 20x25</t>
  </si>
  <si>
    <t>uno 25565 grey 25x25</t>
  </si>
  <si>
    <t>m. salfatore grey 40x40</t>
  </si>
  <si>
    <t>m. spect. Golia beige</t>
  </si>
  <si>
    <t>a. welco beige 20x20</t>
  </si>
  <si>
    <t>ar 2323 blue 20x25</t>
  </si>
  <si>
    <t>ar 8888 cream 40x40</t>
  </si>
  <si>
    <t>uno 25565 beige 25x25</t>
  </si>
  <si>
    <t>lemkra fs 215</t>
  </si>
  <si>
    <t>kucan grey 20 cm</t>
  </si>
  <si>
    <t>m. spect. Golia grey 20x20</t>
  </si>
  <si>
    <t>saringan pvc white</t>
  </si>
  <si>
    <t>kucan maroon 20cm</t>
  </si>
  <si>
    <t>kucan d.brown 20 cm</t>
  </si>
  <si>
    <t>daftar kir</t>
  </si>
  <si>
    <t>a. zigma grey 30x30</t>
  </si>
  <si>
    <t>a. oscar grey 30x30</t>
  </si>
  <si>
    <t>m. spect. Salvatore grey 40x40</t>
  </si>
  <si>
    <t>ar 9999 cream 40x40</t>
  </si>
  <si>
    <t xml:space="preserve">mu 408 yellow </t>
  </si>
  <si>
    <t>lemkra fs 213</t>
  </si>
  <si>
    <t>uno jade beige 25x40</t>
  </si>
  <si>
    <t>m. sinai noche 25x25</t>
  </si>
  <si>
    <t>tempat sabun trisensa beige</t>
  </si>
  <si>
    <t>m. spect. Orion grey 40x40</t>
  </si>
  <si>
    <t>stepnosing grey 40 cm</t>
  </si>
  <si>
    <t>a. zara beige 20x25</t>
  </si>
  <si>
    <t>listrik</t>
  </si>
  <si>
    <t>kucan versace brown 20 cm</t>
  </si>
  <si>
    <t>uno marina grey 25x40</t>
  </si>
  <si>
    <t>a. galaxy grey 20x20</t>
  </si>
  <si>
    <t>a. zulu grey 30x30</t>
  </si>
  <si>
    <t>list 2280 grey glitter</t>
  </si>
  <si>
    <t>kucan 2 warna m.brown 20 cm</t>
  </si>
  <si>
    <t>saringan stainless</t>
  </si>
  <si>
    <t>prima grout white</t>
  </si>
  <si>
    <t>gembok</t>
  </si>
  <si>
    <t>plt. Harvey brown embossed</t>
  </si>
  <si>
    <t>a. galaxy grey 25x25</t>
  </si>
  <si>
    <t>plt. Amazon bone</t>
  </si>
  <si>
    <t>bcp isano 80 cm</t>
  </si>
  <si>
    <t>uno 25575 beige 25x25</t>
  </si>
  <si>
    <t>uno emerald blue 25x40</t>
  </si>
  <si>
    <t>m. brina beige 25x40</t>
  </si>
  <si>
    <t>a. zigma beige 30x30</t>
  </si>
  <si>
    <t>uno 25534 beige</t>
  </si>
  <si>
    <t>a. oscar black 40x40</t>
  </si>
  <si>
    <t>stepnosing black 40 cm</t>
  </si>
  <si>
    <t>plt. Helios brown embossed</t>
  </si>
  <si>
    <t>m. canadian beige 40x40</t>
  </si>
  <si>
    <t>m. valino blue</t>
  </si>
  <si>
    <t>bcp volk 75 cm</t>
  </si>
  <si>
    <t>kran angsa executive</t>
  </si>
  <si>
    <t>ar 2718 beige 20x25</t>
  </si>
  <si>
    <t>a. senza cream 40x40</t>
  </si>
  <si>
    <t>closed tci green</t>
  </si>
  <si>
    <t>lemkra fs 215 m.brown</t>
  </si>
  <si>
    <t>a. zion grey 20x20</t>
  </si>
  <si>
    <t>uno 25011 cream 25x40</t>
  </si>
  <si>
    <t>m. sinai grigio 25x25</t>
  </si>
  <si>
    <t>m. orion grey 40x40</t>
  </si>
  <si>
    <t>kucan brown 20 cm</t>
  </si>
  <si>
    <t>pgs. Vasa stone brown 40x40</t>
  </si>
  <si>
    <t>uno emerald yellow 25x40</t>
  </si>
  <si>
    <t>uno 25534 beige 25x25</t>
  </si>
  <si>
    <t>uno altea beige 25x40</t>
  </si>
  <si>
    <t>m. audy grigio 25x40</t>
  </si>
  <si>
    <t>uno 25524 grey 25x25</t>
  </si>
  <si>
    <t>uno 25511 beige 25x25</t>
  </si>
  <si>
    <t>list 204 yellow</t>
  </si>
  <si>
    <t>plt. Helios grey embossed 25x40</t>
  </si>
  <si>
    <t>list versace new revo grey 25 cm</t>
  </si>
  <si>
    <t>a. zeva grey 20x25</t>
  </si>
  <si>
    <t>m. selayar beige 40x40</t>
  </si>
  <si>
    <t>kucan s.brown 20 cm</t>
  </si>
  <si>
    <t>plt. Holden basic 25x40</t>
  </si>
  <si>
    <t>hakone basic 25x40</t>
  </si>
  <si>
    <t>list azenda blue 25 cm</t>
  </si>
  <si>
    <t>kucan 2 warna blue 20 cm</t>
  </si>
  <si>
    <t>kucan versace d.brown</t>
  </si>
  <si>
    <t>kuku macan ivory 20 cm</t>
  </si>
  <si>
    <t>plt. Hakone basic 25x40</t>
  </si>
  <si>
    <t>list 409 blue 20 cm</t>
  </si>
  <si>
    <t>kucan 2 warna black</t>
  </si>
  <si>
    <t>m. sorento grey 40x40</t>
  </si>
  <si>
    <t>m. sorento beige 40x40</t>
  </si>
  <si>
    <t>saringan got pvc ivory</t>
  </si>
  <si>
    <t>a. galaxy cream 20x20</t>
  </si>
  <si>
    <t>glass block jingwa diamond</t>
  </si>
  <si>
    <t>fly ash</t>
  </si>
  <si>
    <t>list t02 green 20 cm</t>
  </si>
  <si>
    <t>ar 2281 beige</t>
  </si>
  <si>
    <t>ar 2351 blue 20x20</t>
  </si>
  <si>
    <t>a. zara basic 20x25</t>
  </si>
  <si>
    <t>a. welco red 20x20</t>
  </si>
  <si>
    <t>mu 408 s.white</t>
  </si>
  <si>
    <t>a. ocra black 40x40</t>
  </si>
  <si>
    <t>m. spect. Sorento grey 40x40</t>
  </si>
  <si>
    <t>kucan black 20 cn</t>
  </si>
  <si>
    <t>pm. White</t>
  </si>
  <si>
    <t>kucan 2 warna black 20 cm</t>
  </si>
  <si>
    <t>uno altea beige 25x49</t>
  </si>
  <si>
    <t>lakban</t>
  </si>
  <si>
    <t>kuku macan black 20 cm</t>
  </si>
  <si>
    <t>list sekar brown 20 cm</t>
  </si>
  <si>
    <t>a. zenia basic 20x25</t>
  </si>
  <si>
    <t>ar 2261 blue 20x20</t>
  </si>
  <si>
    <t>a. zara brown 20x25</t>
  </si>
  <si>
    <t xml:space="preserve">ar 9999 cream </t>
  </si>
  <si>
    <t>uno acacia beige 25x40</t>
  </si>
  <si>
    <t>uno 25513 blue 25x25</t>
  </si>
  <si>
    <t>ar 2351 beige</t>
  </si>
  <si>
    <t xml:space="preserve">ar 2588 beige </t>
  </si>
  <si>
    <t>a. montana d.blue 40x40</t>
  </si>
  <si>
    <t>a. senza cream 30x30</t>
  </si>
  <si>
    <t>a. montana d.green 40x40</t>
  </si>
  <si>
    <t>m. timber beige 25x40</t>
  </si>
  <si>
    <t>list regina brown 25 cm</t>
  </si>
  <si>
    <t>ar 2323 blue 20x20</t>
  </si>
  <si>
    <t>perpuluhan</t>
  </si>
  <si>
    <t>ar 2321 blue 20x20</t>
  </si>
  <si>
    <t>a. zara blue 20x25</t>
  </si>
  <si>
    <t>ar 1111 grey 40x40</t>
  </si>
  <si>
    <t>saringan got pvc green</t>
  </si>
  <si>
    <t>uno 25575 blue</t>
  </si>
  <si>
    <t>mu 408 s.yellow</t>
  </si>
  <si>
    <t>a. zigma grey 40x40</t>
  </si>
  <si>
    <t>uno emeralds blue 25x40</t>
  </si>
  <si>
    <t>diamond alena brown 20x25</t>
  </si>
  <si>
    <t>list davisio beige 20 cm</t>
  </si>
  <si>
    <t>a. montana d.green 20x25</t>
  </si>
  <si>
    <t>a. oscar brown 40x40</t>
  </si>
  <si>
    <t>uno 25517 blue 25x25</t>
  </si>
  <si>
    <t>ts 114 beige</t>
  </si>
  <si>
    <t>uno 25513 beige 25x25</t>
  </si>
  <si>
    <t>step nosing ivory 40 cm</t>
  </si>
  <si>
    <t>ar 3333 grey 30x30</t>
  </si>
  <si>
    <t>stargress uranus beige 20x25</t>
  </si>
  <si>
    <t>plt. Ancona grey 40x40</t>
  </si>
  <si>
    <t>kuku macan whote 20 cm</t>
  </si>
  <si>
    <t>kuku macan hitam 20cm</t>
  </si>
  <si>
    <t>m. spect. Rinjani beige</t>
  </si>
  <si>
    <t>bensin</t>
  </si>
  <si>
    <t>plt. Hayden basic 25x40</t>
  </si>
  <si>
    <t>kuku macan white 20 cm</t>
  </si>
  <si>
    <t>a. zigma creqm 30x30</t>
  </si>
  <si>
    <t>glass block jinghua diamon</t>
  </si>
  <si>
    <t>list pasadena 40 cm</t>
  </si>
  <si>
    <t>saringan got stainles</t>
  </si>
  <si>
    <t>kucan blacvk 10 cm</t>
  </si>
  <si>
    <t>kucan black 10 cm</t>
  </si>
  <si>
    <t>kucan blac k20 cm</t>
  </si>
  <si>
    <t>a. muralo 30s30</t>
  </si>
  <si>
    <t>list 409 green 20 cm</t>
  </si>
  <si>
    <t>uno 25021 cream 25x40</t>
  </si>
  <si>
    <t>lem bakar</t>
  </si>
  <si>
    <t>m. ontario brown</t>
  </si>
  <si>
    <t>plt. Helios grey 25x40</t>
  </si>
  <si>
    <t>uno 25517 grey 25x25</t>
  </si>
  <si>
    <t>list 2280 black 25 cm</t>
  </si>
  <si>
    <t xml:space="preserve">closed tci beige </t>
  </si>
  <si>
    <t>list molina grey 25 cm</t>
  </si>
  <si>
    <t>a. muralo 40x40</t>
  </si>
  <si>
    <t>closed tci blue</t>
  </si>
  <si>
    <t>saringan pvc biru</t>
  </si>
  <si>
    <t>plt. Atlas grey 40x40</t>
  </si>
  <si>
    <t>ar 2821 blue 20x20</t>
  </si>
  <si>
    <t>a. Fonte black 40x40</t>
  </si>
  <si>
    <t>m. Timber beige 25x40</t>
  </si>
  <si>
    <t>kucan red pastel 20 cm</t>
  </si>
  <si>
    <t>saringan got pvc ivory 20 cm</t>
  </si>
  <si>
    <t>ar 4988 d.grey 40x40</t>
  </si>
  <si>
    <t>m. Spect. Sorento beige</t>
  </si>
  <si>
    <t>m. Spect. Sorento grey</t>
  </si>
  <si>
    <t>list</t>
  </si>
  <si>
    <t>ban</t>
  </si>
  <si>
    <t>alat kantor</t>
  </si>
  <si>
    <t>saringan got pvc white</t>
  </si>
  <si>
    <t>list 007 blue 20 cm</t>
  </si>
  <si>
    <t xml:space="preserve">tempat sabun trisensa blue </t>
  </si>
  <si>
    <t>ar 2281 blue 20x20</t>
  </si>
  <si>
    <t>diamond saturnus blue 20x25</t>
  </si>
  <si>
    <t>plt. Azuvi brown 40x40</t>
  </si>
  <si>
    <t>jimpitan</t>
  </si>
  <si>
    <t>kran executive 1/2"</t>
  </si>
  <si>
    <t>saringan got pvc biru</t>
  </si>
  <si>
    <t>ar 2311 blue 20x20</t>
  </si>
  <si>
    <t>lisr 039 blue 20 cm</t>
  </si>
  <si>
    <t>sp. Montana yellow 40x40</t>
  </si>
  <si>
    <t>m. spect. Iris green 20x25</t>
  </si>
  <si>
    <t>ar 2261 green</t>
  </si>
  <si>
    <t>ar 8822 green 40x40</t>
  </si>
  <si>
    <t>kran execuitve  3/4"</t>
  </si>
  <si>
    <t>saringan got klep</t>
  </si>
  <si>
    <t>ar 2281 green 20x20</t>
  </si>
  <si>
    <t>mcc havana brown</t>
  </si>
  <si>
    <t>ar 2351 l.blue 20x20</t>
  </si>
  <si>
    <t>plt. Nino cream 60x60</t>
  </si>
  <si>
    <t>m. energia beige 25x25</t>
  </si>
  <si>
    <t>plt. Helios brown embossed 25x40</t>
  </si>
  <si>
    <t>list pot fruit 25 cm</t>
  </si>
  <si>
    <t>list 007 blue</t>
  </si>
  <si>
    <t>plt helios grey décor 25x40</t>
  </si>
  <si>
    <t>plt. Ancona brown 40x40</t>
  </si>
  <si>
    <t>mcc parkit cream 40x40</t>
  </si>
  <si>
    <t>kucan hitam 20 cm</t>
  </si>
  <si>
    <t>uno alamanda green 25x40</t>
  </si>
  <si>
    <t>uno 25517 green 25x25</t>
  </si>
  <si>
    <t>list malaga green 25 cm</t>
  </si>
  <si>
    <t>uno opal green 25x40</t>
  </si>
  <si>
    <t>uno 25565 blue 25x25</t>
  </si>
  <si>
    <t>a. muralo polos 40x40</t>
  </si>
  <si>
    <t>list 2280 grey 25cm</t>
  </si>
  <si>
    <t>list rosalinda brown 25 cm</t>
  </si>
  <si>
    <t>bensin mobil</t>
  </si>
  <si>
    <t>total</t>
  </si>
  <si>
    <t>spt</t>
  </si>
  <si>
    <t>kucan gold 20 cm</t>
  </si>
  <si>
    <t>kucan silver 20 cm</t>
  </si>
  <si>
    <t>ar 2281 green</t>
  </si>
  <si>
    <t>a. zenza cream 30x30</t>
  </si>
  <si>
    <t>m. spect. Lovina grey</t>
  </si>
  <si>
    <t>list cakra 25 cm</t>
  </si>
  <si>
    <t>m.spect. Cynara green 20x25</t>
  </si>
  <si>
    <t>m. spect. Aura beige 40x40</t>
  </si>
  <si>
    <t>ar 4728 grey 40x40</t>
  </si>
  <si>
    <t>a. welco green 20x20</t>
  </si>
  <si>
    <t>plt. Hilton cream 40x40</t>
  </si>
  <si>
    <t>a. zigma cgrey 30x30</t>
  </si>
  <si>
    <t>kuku macan d.brown 20 cm</t>
  </si>
  <si>
    <t>a. zara red 20x25</t>
  </si>
  <si>
    <t>ply. Hayden blue décor 25x40</t>
  </si>
  <si>
    <t>m. vintage grey 25x40</t>
  </si>
  <si>
    <t>kuku macan sky blue 20 cm</t>
  </si>
  <si>
    <t>saringan pvc ivory</t>
  </si>
  <si>
    <t>ts 114 green</t>
  </si>
  <si>
    <t>prima grout tea green</t>
  </si>
  <si>
    <t>uno victory cream 25x40</t>
  </si>
  <si>
    <t>plt. Helios brown décor 25x40</t>
  </si>
  <si>
    <t>panel koi isi 8lbr</t>
  </si>
  <si>
    <t>ts 114 blue</t>
  </si>
  <si>
    <t>ts trisensa blue</t>
  </si>
  <si>
    <t>kucan ivory 20 cm</t>
  </si>
  <si>
    <t xml:space="preserve">sargot ivory </t>
  </si>
  <si>
    <t>uno rainbow blue 25x40</t>
  </si>
  <si>
    <t>uno 25519 blue 25x25</t>
  </si>
  <si>
    <t>servis mobil</t>
  </si>
  <si>
    <t>list twister green 25 cm</t>
  </si>
  <si>
    <t>a. ramos cream 30x30</t>
  </si>
  <si>
    <t>m. altima blue 25x40</t>
  </si>
  <si>
    <t>sargot klep</t>
  </si>
  <si>
    <t>list 3020 cream 25 cm</t>
  </si>
  <si>
    <t>list 3020 grey 25 cm</t>
  </si>
  <si>
    <t>list ayunda blue 25 cm</t>
  </si>
  <si>
    <t>uno jasmine beige 25x40</t>
  </si>
  <si>
    <t>uno 25534 green 25x25</t>
  </si>
  <si>
    <t>m. timber green 25x40</t>
  </si>
  <si>
    <t>lemkra fs215</t>
  </si>
  <si>
    <t>a. welco brown 20x20</t>
  </si>
  <si>
    <t>a. zion black 25x25</t>
  </si>
  <si>
    <t>list tasos brown 20cm</t>
  </si>
  <si>
    <t>list paulo grey 25 cm</t>
  </si>
  <si>
    <t>list 039 blue 20 cm</t>
  </si>
  <si>
    <t>m. spect. Selayar beige</t>
  </si>
  <si>
    <t>kucan s.blue 20 cm</t>
  </si>
  <si>
    <t>ar 2281 bllue 20x20</t>
  </si>
  <si>
    <t>a. maroon 30x30</t>
  </si>
  <si>
    <t>lemkra fs 206</t>
  </si>
  <si>
    <t>tx trisensa white</t>
  </si>
  <si>
    <t>plt. Hayden orange décor 25x40</t>
  </si>
  <si>
    <t>tempat sabun trisensa white</t>
  </si>
  <si>
    <t>sargot pvc ivory</t>
  </si>
  <si>
    <t>sargot stainless</t>
  </si>
  <si>
    <t>a. ritz brown 25x25</t>
  </si>
  <si>
    <t>a. corsica marron 30x30</t>
  </si>
  <si>
    <t>ar 2321 blue 20c0</t>
  </si>
  <si>
    <t>kran 1/2" executive</t>
  </si>
  <si>
    <t>kran 3/4" executive</t>
  </si>
  <si>
    <t>uno 25513 grey 25x25</t>
  </si>
  <si>
    <t>kucan black 20cm</t>
  </si>
  <si>
    <t>m. spect. Iris beige 20x25</t>
  </si>
  <si>
    <t>list 850 brown 25 cm</t>
  </si>
  <si>
    <t>mcc havana brown 40x40</t>
  </si>
  <si>
    <t>uno 25517 beige</t>
  </si>
  <si>
    <t>list azenda brown 25 cm</t>
  </si>
  <si>
    <t xml:space="preserve">saringan got ivory </t>
  </si>
  <si>
    <t>granit hh 603 polos cream</t>
  </si>
  <si>
    <t>keramik sisa</t>
  </si>
  <si>
    <t>uno alamanda blue 25x40</t>
  </si>
  <si>
    <t>list 409 brown 20 cm</t>
  </si>
  <si>
    <t>m. sinai noche</t>
  </si>
  <si>
    <t>uno crysan grey 25x40</t>
  </si>
  <si>
    <t>m. canadia beige 40x40</t>
  </si>
  <si>
    <t>uno 25021 cream 50500</t>
  </si>
  <si>
    <t>a. galaxy cream 25x25</t>
  </si>
  <si>
    <t>saturnus blue 20x25</t>
  </si>
  <si>
    <t>uno 25021 grey 25x40</t>
  </si>
  <si>
    <t>uno 25524 green 25x25</t>
  </si>
  <si>
    <t>list ajib grey 25 cm</t>
  </si>
  <si>
    <t>list inggrid brown 25 cm</t>
  </si>
  <si>
    <t>uno opal beige 25x40</t>
  </si>
  <si>
    <t>plt. Hakone basic</t>
  </si>
  <si>
    <t>m. versace red</t>
  </si>
  <si>
    <t>m. iris beige 20x25</t>
  </si>
  <si>
    <t>list twister green 20 cm</t>
  </si>
  <si>
    <t>lemkra fs 219</t>
  </si>
  <si>
    <t>list 007 pink</t>
  </si>
  <si>
    <t>list latuna brown 20 cm</t>
  </si>
  <si>
    <t>m. spect. Sorento grey</t>
  </si>
  <si>
    <t>kucan 2 warna m.brown</t>
  </si>
  <si>
    <t>a. zurich grey 40x40</t>
  </si>
  <si>
    <t>list alia blue 25 cm</t>
  </si>
  <si>
    <t>m. cynara green 20x25</t>
  </si>
  <si>
    <t>list 473 brown 20 cm</t>
  </si>
  <si>
    <t>a. zola grey 20x25</t>
  </si>
  <si>
    <t>plt. Alvro grey 40x40</t>
  </si>
  <si>
    <t>uno orien green 25x25</t>
  </si>
  <si>
    <t>kucan black 25 cm</t>
  </si>
  <si>
    <t>kucan orange 25 cm</t>
  </si>
  <si>
    <t>kucan green 20 cm</t>
  </si>
  <si>
    <t>herc. Malaka beige 50x40</t>
  </si>
  <si>
    <t>plt. Casa cream 40x40</t>
  </si>
  <si>
    <t>uni ibiza brown 50x50</t>
  </si>
  <si>
    <t>bcp volk 80 cm</t>
  </si>
  <si>
    <t xml:space="preserve">pm tea green </t>
  </si>
  <si>
    <t>m. brina décor brown 25x40</t>
  </si>
  <si>
    <t>list sandera grey 25 cm</t>
  </si>
  <si>
    <t>pm. S.yellow</t>
  </si>
  <si>
    <t>m. spect. Selayar beige 40x40</t>
  </si>
  <si>
    <t>m. energia beige 40x40</t>
  </si>
  <si>
    <t>ar 2261 beige</t>
  </si>
  <si>
    <t>mu s.cream</t>
  </si>
  <si>
    <t>sargot pvc</t>
  </si>
  <si>
    <t>sargot cab</t>
  </si>
  <si>
    <t>uno orien beige 25x25</t>
  </si>
  <si>
    <t>closed tci beige</t>
  </si>
  <si>
    <t>list ajib brown 25 cm</t>
  </si>
  <si>
    <t>a. zion grey 25x25</t>
  </si>
  <si>
    <t>lemkra fs 201 grey</t>
  </si>
  <si>
    <t>uno jade green 25x40</t>
  </si>
  <si>
    <t>m. ontario brown 20x20</t>
  </si>
  <si>
    <t>list sandera brown 25 cm</t>
  </si>
  <si>
    <t>kuku macan black 10 cm</t>
  </si>
  <si>
    <t>ar 2821 beige 20x20</t>
  </si>
  <si>
    <t>plt. Helios brown 25x40</t>
  </si>
  <si>
    <t>panel kaligrafi</t>
  </si>
  <si>
    <t>panel allah</t>
  </si>
  <si>
    <t>panel muhammad</t>
  </si>
  <si>
    <t>plt. Nolia d.green 25x40</t>
  </si>
  <si>
    <t>list pasadena green 25 cm</t>
  </si>
  <si>
    <t>aqua gelas</t>
  </si>
  <si>
    <t>kuku macan black20 cm</t>
  </si>
  <si>
    <t>a. welco blue 20x20</t>
  </si>
  <si>
    <t>PM s.yellow</t>
  </si>
  <si>
    <t>list sandra grey 25 cm</t>
  </si>
  <si>
    <t>kucan red paster</t>
  </si>
  <si>
    <t>a. galaxy grey</t>
  </si>
  <si>
    <t>m. spect. Cynara green 20x25</t>
  </si>
  <si>
    <t>list 716 green</t>
  </si>
  <si>
    <t>kucan m.brown 20 cm</t>
  </si>
  <si>
    <t>list sandira grey 25cm</t>
  </si>
  <si>
    <t>list 450 blue 20 cm</t>
  </si>
  <si>
    <t>ts 114 a.green</t>
  </si>
  <si>
    <t>pm white</t>
  </si>
  <si>
    <t>kucan d.blue 20 cm</t>
  </si>
  <si>
    <t>m. spect. orion grey 40x40</t>
  </si>
  <si>
    <t xml:space="preserve">list </t>
  </si>
  <si>
    <t>rafia + plester</t>
  </si>
  <si>
    <t>m. brina décor 25x40</t>
  </si>
  <si>
    <t>ar 2929 blue 20x25</t>
  </si>
  <si>
    <t>list pasadena blue 20 cm</t>
  </si>
  <si>
    <t>ar 2311 green 20x20</t>
  </si>
  <si>
    <t>tci a.green</t>
  </si>
  <si>
    <t>list 450</t>
  </si>
  <si>
    <t>lemkra 202 white</t>
  </si>
  <si>
    <t>m. sorento grey</t>
  </si>
  <si>
    <t>kucan beige 10 cm</t>
  </si>
  <si>
    <t>uno 25071 green 25x40</t>
  </si>
  <si>
    <t>pbb</t>
  </si>
  <si>
    <t>list 8251 brown</t>
  </si>
  <si>
    <t>closed triliunware ivy</t>
  </si>
  <si>
    <t>kucan 2 warna d.brown  20 cm</t>
  </si>
  <si>
    <t>m. canadian 40x40</t>
  </si>
  <si>
    <t>kucan pastel red 20 cm</t>
  </si>
  <si>
    <t>milan terios grigio 40x40</t>
  </si>
  <si>
    <t>m. piedra beige 40x40</t>
  </si>
  <si>
    <t>a. zuric grey 40x40</t>
  </si>
  <si>
    <t>saringan got mancini</t>
  </si>
  <si>
    <t>uno 25565 green 25x25</t>
  </si>
  <si>
    <t>m. urban grey 25x25</t>
  </si>
  <si>
    <t>list inggrid 20 cm</t>
  </si>
  <si>
    <t>kucan 2 warna biru 20 cm</t>
  </si>
  <si>
    <t>pompa</t>
  </si>
  <si>
    <t>list neo versace brown 25 cm</t>
  </si>
  <si>
    <t>cynara green</t>
  </si>
  <si>
    <t>imp. Plaza green 20x25</t>
  </si>
  <si>
    <t>plt. Azubi brown 40x40</t>
  </si>
  <si>
    <t>ar 1813 brown 40x40</t>
  </si>
  <si>
    <t>list 716 beige</t>
  </si>
  <si>
    <t>a. Zara beige 20x25</t>
  </si>
  <si>
    <t>uno 25517 green</t>
  </si>
  <si>
    <t>mu 408 jazz gn</t>
  </si>
  <si>
    <t>kucan 2 warna green 20 cm</t>
  </si>
  <si>
    <t>plt. Harvey brown embos</t>
  </si>
  <si>
    <t>m. valino blue 25x40</t>
  </si>
  <si>
    <t>A. zigma cream 30x30</t>
  </si>
  <si>
    <t>lemkra fs 202 grey</t>
  </si>
  <si>
    <t>milan terios grigio</t>
  </si>
  <si>
    <t>kucan 2 warna green</t>
  </si>
  <si>
    <t>lemkra fs cream</t>
  </si>
  <si>
    <t>plt. Hilten cream 40x40</t>
  </si>
  <si>
    <t>ar 4381 ivy 40x40</t>
  </si>
  <si>
    <t>kucan s.brown 20cm</t>
  </si>
  <si>
    <t>bensin motor</t>
  </si>
  <si>
    <t>closet triliunware a.green</t>
  </si>
  <si>
    <t>ts114 white</t>
  </si>
  <si>
    <t>m.spect. Orion grey 40x40</t>
  </si>
  <si>
    <t>uno 25021 grey</t>
  </si>
  <si>
    <t>m. ontario beige</t>
  </si>
  <si>
    <t>mu 408 cream</t>
  </si>
  <si>
    <t>lue 25x25</t>
  </si>
  <si>
    <t>ar 2777 green 20x25</t>
  </si>
  <si>
    <t>list theresia green 20cm</t>
  </si>
  <si>
    <t>ts. Trisensa green</t>
  </si>
  <si>
    <t>liat volcano green 25 cm</t>
  </si>
  <si>
    <t>m. rinjani beige 40x40</t>
  </si>
  <si>
    <t xml:space="preserve">centro </t>
  </si>
  <si>
    <t>sargot pvc white</t>
  </si>
  <si>
    <t>ar 2671 d.green</t>
  </si>
  <si>
    <t>lemkra 201</t>
  </si>
  <si>
    <t>lemkra 210</t>
  </si>
  <si>
    <t>kucan 2 warna d.green 20cm</t>
  </si>
  <si>
    <t>uno 48831 brown 40x40</t>
  </si>
  <si>
    <t xml:space="preserve">closed tci bei </t>
  </si>
  <si>
    <t>list revo versace brown</t>
  </si>
  <si>
    <t>ar 7711 cream 40x40</t>
  </si>
  <si>
    <t>ar 2261 beige 20x20</t>
  </si>
  <si>
    <t>mass yellow wish prince</t>
  </si>
  <si>
    <t>list azenda brown</t>
  </si>
  <si>
    <t>ar 2588 beige 20x25</t>
  </si>
  <si>
    <t>m. Urban grey 25x25</t>
  </si>
  <si>
    <t>m. Aura beige 40x40</t>
  </si>
  <si>
    <t>tambal ban</t>
  </si>
  <si>
    <t>sargot mancini stainless</t>
  </si>
  <si>
    <t>a. Zulu grey 30x30</t>
  </si>
  <si>
    <t>plt. Angelo grey 40x40</t>
  </si>
  <si>
    <t>uno 25071 beige 25x40</t>
  </si>
  <si>
    <t>kucan white 20 cm</t>
  </si>
  <si>
    <t>A. zara basic 20x25</t>
  </si>
  <si>
    <t>lemkra white</t>
  </si>
  <si>
    <t>trisensa white</t>
  </si>
  <si>
    <t>ar 48831</t>
  </si>
  <si>
    <t>istrik</t>
  </si>
  <si>
    <t>milan terios coffe 40x40</t>
  </si>
  <si>
    <t>list volcano green 25 cm</t>
  </si>
  <si>
    <t>list lina blue 25 cm</t>
  </si>
  <si>
    <t>pgs. Vasa brown</t>
  </si>
  <si>
    <t>panel buah isi 6 lbr</t>
  </si>
  <si>
    <t xml:space="preserve">ar 2261 blue </t>
  </si>
  <si>
    <t>uno 25523 green</t>
  </si>
  <si>
    <t xml:space="preserve">list revo brown </t>
  </si>
  <si>
    <t>lemkra 213</t>
  </si>
  <si>
    <t>m. brina deco 25x40</t>
  </si>
  <si>
    <t>list lina green 25 cm</t>
  </si>
  <si>
    <t>bcp mancini 1 m</t>
  </si>
  <si>
    <t>m. canadian beige</t>
  </si>
  <si>
    <t>kucan d.blue 20cm</t>
  </si>
  <si>
    <t>ar 2251 l.blue</t>
  </si>
  <si>
    <t>list pasadena brown 40 cm</t>
  </si>
  <si>
    <t>list pasadena brown 20 cm</t>
  </si>
  <si>
    <t>lemkra fs brown</t>
  </si>
  <si>
    <t>list versace black 40 cm</t>
  </si>
  <si>
    <t>ar 4988 d.brown 40x40</t>
  </si>
  <si>
    <t>m. brina deco brown 25x40</t>
  </si>
  <si>
    <t>plt. Harvey grey 25x40</t>
  </si>
  <si>
    <t>a. zion green 20x20</t>
  </si>
  <si>
    <t>list 8251 brown 25 cm</t>
  </si>
  <si>
    <t>panel bismillah</t>
  </si>
  <si>
    <t>kucan black 2 warna</t>
  </si>
  <si>
    <t>kucan d,brown 2 warna</t>
  </si>
  <si>
    <t>lemkra 206</t>
  </si>
  <si>
    <t>m. brina beige deco 25x40</t>
  </si>
  <si>
    <t>uno alamanda cream 25x40</t>
  </si>
  <si>
    <t>kucan dblue 20 cm</t>
  </si>
  <si>
    <t>list grandis brown 25 cm</t>
  </si>
  <si>
    <t>list 007 green 20 cm</t>
  </si>
  <si>
    <t>list 450 green 20 cm</t>
  </si>
  <si>
    <t>kran pvc 3/4"</t>
  </si>
  <si>
    <t>m. iris green 20x25</t>
  </si>
  <si>
    <t>diamond uranus brown 20x25</t>
  </si>
  <si>
    <t>ongkos tukang</t>
  </si>
  <si>
    <t>panel kaabah isi 15lbr</t>
  </si>
  <si>
    <t>saringan got</t>
  </si>
  <si>
    <t>kucan s. brown 20 cm</t>
  </si>
  <si>
    <t>list dimitri grey 25 cm</t>
  </si>
  <si>
    <t>list rosalinda grey 25 cm</t>
  </si>
  <si>
    <t>m. spect. Audy grigio</t>
  </si>
  <si>
    <t>plt. Nino grey 25x40</t>
  </si>
  <si>
    <t>kucan .sbrown 20 cm</t>
  </si>
  <si>
    <t xml:space="preserve">ts sg ivory </t>
  </si>
  <si>
    <t>list t02 blue 20 cm</t>
  </si>
  <si>
    <t>ts trisensa ivoy</t>
  </si>
  <si>
    <t>ts trisensa white</t>
  </si>
  <si>
    <t>ts trisensa a.blue</t>
  </si>
  <si>
    <t>ts sg green</t>
  </si>
  <si>
    <t>ar 2261 pink</t>
  </si>
  <si>
    <t>solaris marocco brown 40x40</t>
  </si>
  <si>
    <t xml:space="preserve">uno 48831 </t>
  </si>
  <si>
    <t>sorento grey 40x40</t>
  </si>
  <si>
    <t>glass block diamond</t>
  </si>
  <si>
    <t>m. ontario brown 20xx20</t>
  </si>
  <si>
    <t>m. iris beige</t>
  </si>
  <si>
    <t>uno 25575 blue 25x25</t>
  </si>
  <si>
    <t>m. aura beige</t>
  </si>
  <si>
    <t>sumbangan</t>
  </si>
  <si>
    <t>m. aura beige 40x40</t>
  </si>
  <si>
    <t>m. brina deco beige 25x40</t>
  </si>
  <si>
    <t>ts triliunware white</t>
  </si>
  <si>
    <t>kucan maroon 290 cm</t>
  </si>
  <si>
    <t>a. fonte black</t>
  </si>
  <si>
    <t>plt. Azuvi grey 40x40</t>
  </si>
  <si>
    <t>plt. Aspen grey 40x40</t>
  </si>
  <si>
    <t>kran pvc 1/2"</t>
  </si>
  <si>
    <t>a. oscar black 40 cx40</t>
  </si>
  <si>
    <t>perpanjangan mobil</t>
  </si>
  <si>
    <t>palet</t>
  </si>
  <si>
    <t>ganti oli</t>
  </si>
  <si>
    <t>thr</t>
  </si>
  <si>
    <t>plt. Hilton grey 40x40</t>
  </si>
  <si>
    <t>lemkra fs 201</t>
  </si>
  <si>
    <t>uno 25512 green 25x25</t>
  </si>
  <si>
    <t>list theresia green 20 cm</t>
  </si>
  <si>
    <t>aqua galon</t>
  </si>
  <si>
    <t>ar 2261beige 20x20</t>
  </si>
  <si>
    <t>uno althea grey 25x40</t>
  </si>
  <si>
    <t>pasang panel allah muhammad</t>
  </si>
  <si>
    <t>m. selanyar beige 40x40</t>
  </si>
  <si>
    <t>bengkel</t>
  </si>
  <si>
    <t>pompa ban</t>
  </si>
  <si>
    <t>kucan wblack white 20 cm</t>
  </si>
  <si>
    <t>m. energia beige 25x15</t>
  </si>
  <si>
    <t>FLY ASH</t>
  </si>
  <si>
    <t>m. azalia green 25x40</t>
  </si>
  <si>
    <t>m. timber brown 25x40</t>
  </si>
  <si>
    <t>list dimitry grey 25 cm</t>
  </si>
  <si>
    <t>sargot pvc green</t>
  </si>
  <si>
    <t>a. corsica red 30x30</t>
  </si>
  <si>
    <t>kucan beige 20 cm</t>
  </si>
  <si>
    <t>list grandis green 25 cm</t>
  </si>
  <si>
    <t>prima grout l.green</t>
  </si>
  <si>
    <t>saringan pvc</t>
  </si>
  <si>
    <t>m. spect. Selanyar beige 40x40</t>
  </si>
  <si>
    <t>list 007 pink 20 cm</t>
  </si>
  <si>
    <t>a. galaxy brown 25x25</t>
  </si>
  <si>
    <t>plt. Nino cream 25x40</t>
  </si>
  <si>
    <t>gr. Leo cream 20x20</t>
  </si>
  <si>
    <t>m. corsica maroon</t>
  </si>
  <si>
    <t>plt. Nino craem 25x40</t>
  </si>
  <si>
    <t>sargot pvc blue</t>
  </si>
  <si>
    <t>ts 114 s.blue</t>
  </si>
  <si>
    <t>kran double shower</t>
  </si>
  <si>
    <t>uno orient beige 25x25</t>
  </si>
  <si>
    <t xml:space="preserve">bcp </t>
  </si>
  <si>
    <t>mu 408 yellow</t>
  </si>
  <si>
    <t>lemkra fsv219</t>
  </si>
  <si>
    <t>list versace revo brown 25 cm</t>
  </si>
  <si>
    <t>m.brina beige deco 25x40</t>
  </si>
  <si>
    <t>sargot mancini</t>
  </si>
  <si>
    <t>plt. Hayden blue deco 25x40</t>
  </si>
  <si>
    <t>plt. Nino basic 25x40</t>
  </si>
  <si>
    <t>lemkra</t>
  </si>
  <si>
    <t>rafia</t>
  </si>
  <si>
    <t>1813 grey</t>
  </si>
  <si>
    <t>a. moreno grey 40x40</t>
  </si>
  <si>
    <t>plt. Adore brown embossed</t>
  </si>
  <si>
    <t>ar 8822 cream 40x40</t>
  </si>
  <si>
    <t>uno 25418 cream 25x40</t>
  </si>
  <si>
    <t>ar 2321 green 20x20</t>
  </si>
  <si>
    <t>m. sylvano taupe</t>
  </si>
  <si>
    <t>prima grout yellow</t>
  </si>
  <si>
    <t>kuku macan ulir brown</t>
  </si>
  <si>
    <t>uno 48831</t>
  </si>
  <si>
    <t>list t02 yellow</t>
  </si>
  <si>
    <t>kucan 2 warna hitam putih</t>
  </si>
  <si>
    <t>plt. Hilton cream 40z40</t>
  </si>
  <si>
    <t>list verasce revo brown 25 cm</t>
  </si>
  <si>
    <t>uno 25565 blue</t>
  </si>
  <si>
    <t>uno 25565 green</t>
  </si>
  <si>
    <t>kucan biru putih 20 cm</t>
  </si>
  <si>
    <t>plt. Hayden blue décor</t>
  </si>
  <si>
    <t>list twister grey 25 cm</t>
  </si>
  <si>
    <t>m. brina deco grey 25x40</t>
  </si>
  <si>
    <t>ar 1812 beige 40x40</t>
  </si>
  <si>
    <t>kucan white green 20 cm</t>
  </si>
  <si>
    <t>kucan versace black white</t>
  </si>
  <si>
    <t>kucan white brown 20 cm</t>
  </si>
  <si>
    <t>kucan white d.green</t>
  </si>
  <si>
    <t>a.zigma cream 40x40</t>
  </si>
  <si>
    <t>mu 408 s. cream</t>
  </si>
  <si>
    <t>ongkir</t>
  </si>
  <si>
    <t>a. galaxy cream 20 cm</t>
  </si>
  <si>
    <t>kucan white d.green 20 cm</t>
  </si>
  <si>
    <t>bcp volk 1 m</t>
  </si>
  <si>
    <t>list ita grey 20 cm</t>
  </si>
  <si>
    <t>ts trisensa ivory</t>
  </si>
  <si>
    <t xml:space="preserve">list yy06 brown </t>
  </si>
  <si>
    <t>a. muralo 30x30 polos</t>
  </si>
  <si>
    <t>panel flower fruit</t>
  </si>
  <si>
    <t>list 8250 black 25 cm</t>
  </si>
  <si>
    <t>uno flora green 25x40</t>
  </si>
  <si>
    <t>m. riverstone coffee 40x40</t>
  </si>
  <si>
    <t>pm 3480 yellow</t>
  </si>
  <si>
    <t>list yy06 blue 20 cm</t>
  </si>
  <si>
    <t>list yy07 brown 20 cm</t>
  </si>
  <si>
    <t>pm 3480 brown</t>
  </si>
  <si>
    <t>list royal brown 25 cm</t>
  </si>
  <si>
    <t>ar 1812 grey</t>
  </si>
  <si>
    <t>list 039 grey 20 cm</t>
  </si>
  <si>
    <t>list regina blue 25 cm</t>
  </si>
  <si>
    <t>uno ginza blue 25x25</t>
  </si>
  <si>
    <t>uno 25071 blue 25x40</t>
  </si>
  <si>
    <t>kucan 2 warna s.brown</t>
  </si>
  <si>
    <t>kucan 2 warnalack versace b</t>
  </si>
  <si>
    <t>list vulcano green 25 cm</t>
  </si>
  <si>
    <t>list pasadena grey 20 cm</t>
  </si>
  <si>
    <t>list y07 brown 20 cm</t>
  </si>
  <si>
    <t>plt. Ancora grey</t>
  </si>
  <si>
    <t>kucan white black versace 20 cm</t>
  </si>
  <si>
    <t>kucan white m.brown 20 cm</t>
  </si>
  <si>
    <t>list grandis blue 20 cm</t>
  </si>
  <si>
    <t>lemkra (2 grey,white)</t>
  </si>
  <si>
    <t>glass block mulia</t>
  </si>
  <si>
    <t>pm honey bee</t>
  </si>
  <si>
    <t>m. golia beige 20x20</t>
  </si>
  <si>
    <t>ar 7733 beige</t>
  </si>
  <si>
    <t>a. zola grey</t>
  </si>
  <si>
    <t>panel ayar kusi isi 9 lbr</t>
  </si>
  <si>
    <t>uno aurora green 25x50</t>
  </si>
  <si>
    <t>uno 25517 l.blue</t>
  </si>
  <si>
    <t>uno orchid beige</t>
  </si>
  <si>
    <t>list azenda green 25 cm</t>
  </si>
  <si>
    <t>uno opal beige 2540</t>
  </si>
  <si>
    <t>ar 8822 grey 40x40</t>
  </si>
  <si>
    <t>uno ginza grey 25x25</t>
  </si>
  <si>
    <t>kucan 2 warna d.green 20 cm</t>
  </si>
  <si>
    <t>list paulo brown</t>
  </si>
  <si>
    <t>uno acacia green 25x40</t>
  </si>
  <si>
    <t>sargot pvc biru</t>
  </si>
  <si>
    <t>uno rainbow grey 254x40</t>
  </si>
  <si>
    <t>uno 25523 blue 25x25</t>
  </si>
  <si>
    <t>m. Vintage grey 40x40</t>
  </si>
  <si>
    <t>a. Montana d.green 20x25</t>
  </si>
  <si>
    <t>list azenda green</t>
  </si>
  <si>
    <t>saturnus green</t>
  </si>
  <si>
    <t>granit hh va 002</t>
  </si>
  <si>
    <t>plt. Helios brown décor</t>
  </si>
  <si>
    <t>ar 7799 beige 40x40</t>
  </si>
  <si>
    <t>selang</t>
  </si>
  <si>
    <t>list pasadena grey</t>
  </si>
  <si>
    <t>pm l.blue</t>
  </si>
  <si>
    <t>ts riliunware white</t>
  </si>
  <si>
    <t>kucan biru 2 warna</t>
  </si>
  <si>
    <t>m. ontario blue 20x20</t>
  </si>
  <si>
    <t>kir</t>
  </si>
  <si>
    <t>hercules borneo l.grey 50x50</t>
  </si>
  <si>
    <t>plt. Ancora grey 40x40</t>
  </si>
  <si>
    <t>kucan black white 20 cm</t>
  </si>
  <si>
    <t>plt. Holy brown 40x40</t>
  </si>
  <si>
    <t>list prisma blue 20 cm</t>
  </si>
  <si>
    <t>plt.casa grey 40x40</t>
  </si>
  <si>
    <t>mcc dot l.grey 40x40</t>
  </si>
  <si>
    <t>ar 7799 grey 40x40</t>
  </si>
  <si>
    <t>saringan got stainless</t>
  </si>
  <si>
    <t>bcp volk</t>
  </si>
  <si>
    <t>kuku black 20 cm</t>
  </si>
  <si>
    <t>ts trisensa beige</t>
  </si>
  <si>
    <t>pm tea green</t>
  </si>
  <si>
    <t>uno energia beige 25x25</t>
  </si>
  <si>
    <t>m. charade blue 20x20</t>
  </si>
  <si>
    <t>m. akasia brown 40x40</t>
  </si>
  <si>
    <t>glassblock mulia ocean view</t>
  </si>
  <si>
    <t>uno 25418 cream 40x40</t>
  </si>
  <si>
    <t>hd cleaner</t>
  </si>
  <si>
    <t>plt. Ancora bone 40x40</t>
  </si>
  <si>
    <t>hercules toraja l.beige 50x50</t>
  </si>
  <si>
    <t>plt. Mastro d.grey 50x50</t>
  </si>
  <si>
    <t>monoblok amstad winplus</t>
  </si>
  <si>
    <t>M. timber beige 25x40</t>
  </si>
  <si>
    <t>a. montna d.blue 20x25</t>
  </si>
  <si>
    <t>list theresia brown 20 cm</t>
  </si>
  <si>
    <t>a. otto grey 40x40</t>
  </si>
  <si>
    <t>a.zigma cream 30x30</t>
  </si>
  <si>
    <t>list 2281 black 25 cm</t>
  </si>
  <si>
    <t>kran 1/2" pvc</t>
  </si>
  <si>
    <t>ar 4538 cream 40x40</t>
  </si>
  <si>
    <t>list nocha green 25 cm</t>
  </si>
  <si>
    <t>list lina blue</t>
  </si>
  <si>
    <t>uno everest 50x50</t>
  </si>
  <si>
    <t>list royal grey 25 cm</t>
  </si>
  <si>
    <t>dp perpanjangan stnk</t>
  </si>
  <si>
    <t>bongkar</t>
  </si>
  <si>
    <t>tci beige</t>
  </si>
  <si>
    <t>uno moritz brown 50x50</t>
  </si>
  <si>
    <t>m. golia beige</t>
  </si>
  <si>
    <t>list pasadena brown</t>
  </si>
  <si>
    <t>list ten ten brown</t>
  </si>
  <si>
    <t>ar 2671 d. blue</t>
  </si>
  <si>
    <t>list pasadena green 20x25</t>
  </si>
  <si>
    <t>herc. Toraja l.beige</t>
  </si>
  <si>
    <t>uno emerald grey 25x40</t>
  </si>
  <si>
    <t>uno topaz green 25x40</t>
  </si>
  <si>
    <t>uno emerald d.grey</t>
  </si>
  <si>
    <t>mu 408 tea green</t>
  </si>
  <si>
    <t>a. zara  basic 20x25</t>
  </si>
  <si>
    <t>uno 25517 blue</t>
  </si>
  <si>
    <t>ts 114 aqua blue</t>
  </si>
  <si>
    <t>m. festival marin</t>
  </si>
  <si>
    <t>lemkra fs blue</t>
  </si>
  <si>
    <t>prima grout ceram</t>
  </si>
  <si>
    <t>m. ontario 20x20</t>
  </si>
  <si>
    <t>list pasadena green 20 cm</t>
  </si>
  <si>
    <t>a. zara pink</t>
  </si>
  <si>
    <t>chara blue 20x20</t>
  </si>
  <si>
    <t>plt. Ancora bone</t>
  </si>
  <si>
    <t>uno rainbow grey 25x40</t>
  </si>
  <si>
    <t>uno emerald yellow</t>
  </si>
  <si>
    <t>list royal beige 25 cm</t>
  </si>
  <si>
    <t>kucan versace brown 2 warna 20 cm</t>
  </si>
  <si>
    <t>kucan s.brown 10 cm</t>
  </si>
  <si>
    <t>ar 1813 grey</t>
  </si>
  <si>
    <t>pame; kaligrafi 8pc</t>
  </si>
  <si>
    <t>prima grout sun yellow</t>
  </si>
  <si>
    <t>a. zurich brown 30x30</t>
  </si>
  <si>
    <t>list reta grey 25cm</t>
  </si>
  <si>
    <t>sargot ivory</t>
  </si>
  <si>
    <t>kuku macan 2 warna black</t>
  </si>
  <si>
    <t>plt. Ancoora bone 40x40</t>
  </si>
  <si>
    <t>list 505 blue 20 cm</t>
  </si>
  <si>
    <t>closed triliun green</t>
  </si>
  <si>
    <t>Total Pengeluaran</t>
  </si>
  <si>
    <t>Tanggal Penjualan</t>
  </si>
  <si>
    <t>Produk Terjual</t>
  </si>
  <si>
    <t>Unit Terjual</t>
  </si>
  <si>
    <t>Harga Per Unit</t>
  </si>
  <si>
    <t>Total</t>
  </si>
  <si>
    <t>Tanggal Pengeluaran</t>
  </si>
  <si>
    <t>Jenis Pengeluaran</t>
  </si>
  <si>
    <t>Total Penegluaran</t>
  </si>
  <si>
    <t>Tanggal penjualan</t>
  </si>
  <si>
    <t>Ggas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</si>
</sst>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7" formatCode="&quot;Rp&quot;#,##0.00"/>
  </numFmts>
  <fonts count="3" x14ac:knownFonts="1">
    <font>
      <sz val="12"/>
      <color theme="1"/>
      <name val="Calibri"/>
      <family val="2"/>
      <charset val="1"/>
      <scheme val="minor"/>
    </font>
    <font>
      <b/>
      <sz val="12"/>
      <color theme="0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8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1">
    <xf numFmtId="0" fontId="0" fillId="0" borderId="0" xfId="0"/>
    <xf numFmtId="14" fontId="0" fillId="0" borderId="0" xfId="0" applyNumberFormat="1"/>
    <xf numFmtId="0" fontId="1" fillId="2" borderId="2" xfId="0" applyFont="1" applyFill="1" applyBorder="1"/>
    <xf numFmtId="0" fontId="0" fillId="0" borderId="2" xfId="0" applyFont="1" applyBorder="1"/>
    <xf numFmtId="0" fontId="0" fillId="0" borderId="5" xfId="0" applyFont="1" applyBorder="1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1" fillId="2" borderId="2" xfId="0" applyNumberFormat="1" applyFont="1" applyFill="1" applyBorder="1" applyAlignment="1">
      <alignment horizontal="center" vertical="center"/>
    </xf>
    <xf numFmtId="44" fontId="0" fillId="0" borderId="2" xfId="0" applyNumberFormat="1" applyFont="1" applyBorder="1" applyAlignment="1">
      <alignment horizontal="center" vertical="center"/>
    </xf>
    <xf numFmtId="44" fontId="0" fillId="0" borderId="5" xfId="0" applyNumberFormat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44" fontId="1" fillId="2" borderId="3" xfId="0" applyNumberFormat="1" applyFont="1" applyFill="1" applyBorder="1" applyAlignment="1">
      <alignment horizontal="center" vertical="center"/>
    </xf>
    <xf numFmtId="44" fontId="0" fillId="0" borderId="3" xfId="0" applyNumberFormat="1" applyFont="1" applyBorder="1" applyAlignment="1">
      <alignment horizontal="center" vertical="center"/>
    </xf>
    <xf numFmtId="44" fontId="0" fillId="0" borderId="6" xfId="0" applyNumberFormat="1" applyFont="1" applyBorder="1" applyAlignment="1">
      <alignment horizontal="center" vertical="center"/>
    </xf>
    <xf numFmtId="167" fontId="1" fillId="2" borderId="3" xfId="0" applyNumberFormat="1" applyFont="1" applyFill="1" applyBorder="1" applyAlignment="1">
      <alignment horizontal="center" vertical="center"/>
    </xf>
    <xf numFmtId="167" fontId="0" fillId="0" borderId="3" xfId="0" applyNumberFormat="1" applyFont="1" applyBorder="1" applyAlignment="1">
      <alignment horizontal="center" vertical="center"/>
    </xf>
    <xf numFmtId="167" fontId="0" fillId="0" borderId="6" xfId="0" applyNumberFormat="1" applyFon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4" fontId="0" fillId="0" borderId="1" xfId="0" applyNumberFormat="1" applyFont="1" applyBorder="1" applyAlignment="1">
      <alignment horizontal="center"/>
    </xf>
    <xf numFmtId="14" fontId="0" fillId="0" borderId="2" xfId="0" applyNumberFormat="1" applyFont="1" applyBorder="1" applyAlignment="1">
      <alignment horizontal="center"/>
    </xf>
    <xf numFmtId="14" fontId="0" fillId="0" borderId="2" xfId="0" applyNumberFormat="1" applyFont="1" applyBorder="1"/>
    <xf numFmtId="44" fontId="1" fillId="2" borderId="2" xfId="0" applyNumberFormat="1" applyFont="1" applyFill="1" applyBorder="1"/>
    <xf numFmtId="44" fontId="0" fillId="0" borderId="2" xfId="0" applyNumberFormat="1" applyFont="1" applyBorder="1"/>
    <xf numFmtId="44" fontId="0" fillId="0" borderId="5" xfId="0" applyNumberFormat="1" applyFont="1" applyBorder="1"/>
    <xf numFmtId="44" fontId="0" fillId="0" borderId="0" xfId="0" applyNumberFormat="1"/>
    <xf numFmtId="14" fontId="0" fillId="0" borderId="5" xfId="0" applyNumberFormat="1" applyFont="1" applyBorder="1"/>
    <xf numFmtId="44" fontId="1" fillId="2" borderId="3" xfId="0" applyNumberFormat="1" applyFont="1" applyFill="1" applyBorder="1"/>
    <xf numFmtId="44" fontId="0" fillId="0" borderId="3" xfId="0" applyNumberFormat="1" applyFont="1" applyBorder="1"/>
    <xf numFmtId="44" fontId="0" fillId="0" borderId="6" xfId="0" applyNumberFormat="1" applyFont="1" applyBorder="1"/>
    <xf numFmtId="14" fontId="0" fillId="0" borderId="2" xfId="0" applyNumberFormat="1" applyFont="1" applyBorder="1" applyAlignment="1">
      <alignment vertical="center"/>
    </xf>
    <xf numFmtId="14" fontId="0" fillId="0" borderId="1" xfId="0" applyNumberFormat="1" applyFon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0" fontId="0" fillId="0" borderId="0" xfId="0" applyNumberFormat="1"/>
    <xf numFmtId="14" fontId="1" fillId="2" borderId="1" xfId="0" applyNumberFormat="1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14" fontId="0" fillId="0" borderId="4" xfId="0" applyNumberFormat="1" applyFont="1" applyBorder="1" applyAlignment="1">
      <alignment horizontal="center"/>
    </xf>
    <xf numFmtId="14" fontId="0" fillId="0" borderId="5" xfId="0" applyNumberFormat="1" applyFont="1" applyBorder="1" applyAlignment="1">
      <alignment horizontal="center"/>
    </xf>
    <xf numFmtId="14" fontId="0" fillId="0" borderId="7" xfId="0" applyNumberFormat="1" applyFont="1" applyBorder="1" applyAlignment="1">
      <alignment horizontal="center" vertical="center"/>
    </xf>
    <xf numFmtId="14" fontId="0" fillId="0" borderId="7" xfId="0" applyNumberFormat="1" applyFont="1" applyBorder="1" applyAlignment="1">
      <alignment vertical="center"/>
    </xf>
    <xf numFmtId="14" fontId="0" fillId="0" borderId="0" xfId="0" applyNumberFormat="1" applyFont="1" applyBorder="1" applyAlignment="1">
      <alignment vertical="center"/>
    </xf>
    <xf numFmtId="14" fontId="0" fillId="0" borderId="1" xfId="0" applyNumberFormat="1" applyFont="1" applyBorder="1" applyAlignment="1">
      <alignment vertical="center"/>
    </xf>
  </cellXfs>
  <cellStyles count="1">
    <cellStyle name="Normal" xfId="0" builtinId="0"/>
  </cellStyles>
  <dxfs count="50"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p&quot;* #,##0.00_-;\-&quot;Rp&quot;* #,##0.00_-;_-&quot;Rp&quot;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4" formatCode="_-&quot;Rp&quot;* #,##0.00_-;\-&quot;Rp&quot;* #,##0.00_-;_-&quot;Rp&quot;* &quot;-&quot;??_-;_-@_-"/>
      <alignment horizontal="center" vertical="center" textRotation="0" wrapText="0" indent="0" justifyLastLine="0" shrinkToFit="0" readingOrder="0"/>
    </dxf>
    <dxf>
      <numFmt numFmtId="34" formatCode="_-&quot;Rp&quot;* #,##0.00_-;\-&quot;Rp&quot;* #,##0.00_-;_-&quot;Rp&quot;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4" formatCode="_-&quot;Rp&quot;* #,##0.00_-;\-&quot;Rp&quot;* #,##0.00_-;_-&quot;Rp&quot;* &quot;-&quot;??_-;_-@_-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4" formatCode="_-&quot;Rp&quot;* #,##0.00_-;\-&quot;Rp&quot;* #,##0.00_-;_-&quot;Rp&quot;* &quot;-&quot;??_-;_-@_-"/>
      <alignment horizontal="center" vertical="center" textRotation="0" wrapText="0" indent="0" justifyLastLine="0" shrinkToFit="0" readingOrder="0"/>
    </dxf>
    <dxf>
      <numFmt numFmtId="34" formatCode="_-&quot;Rp&quot;* #,##0.00_-;\-&quot;Rp&quot;* #,##0.00_-;_-&quot;Rp&quot;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p&quot;* #,##0.00_-;\-&quot;Rp&quot;* #,##0.00_-;_-&quot;Rp&quot;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4" formatCode="_-&quot;Rp&quot;* #,##0.00_-;\-&quot;Rp&quot;* #,##0.00_-;_-&quot;Rp&quot;* &quot;-&quot;??_-;_-@_-"/>
      <alignment horizontal="center" vertical="center" textRotation="0" wrapText="0" indent="0" justifyLastLine="0" shrinkToFit="0" readingOrder="0"/>
    </dxf>
    <dxf>
      <numFmt numFmtId="34" formatCode="_-&quot;Rp&quot;* #,##0.00_-;\-&quot;Rp&quot;* #,##0.00_-;_-&quot;Rp&quot;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p&quot;* #,##0.00_-;\-&quot;Rp&quot;* #,##0.00_-;_-&quot;Rp&quot;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4" formatCode="_-&quot;Rp&quot;* #,##0.00_-;\-&quot;Rp&quot;* #,##0.00_-;_-&quot;Rp&quot;* &quot;-&quot;??_-;_-@_-"/>
      <alignment horizontal="center" vertical="center" textRotation="0" wrapText="0" indent="0" justifyLastLine="0" shrinkToFit="0" readingOrder="0"/>
    </dxf>
    <dxf>
      <numFmt numFmtId="34" formatCode="_-&quot;Rp&quot;* #,##0.00_-;\-&quot;Rp&quot;* #,##0.00_-;_-&quot;Rp&quot;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p&quot;* #,##0.00_-;\-&quot;Rp&quot;* #,##0.00_-;_-&quot;Rp&quot;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4" formatCode="_-&quot;Rp&quot;* #,##0.00_-;\-&quot;Rp&quot;* #,##0.00_-;_-&quot;Rp&quot;* &quot;-&quot;??_-;_-@_-"/>
      <alignment horizontal="center" vertical="center" textRotation="0" wrapText="0" indent="0" justifyLastLine="0" shrinkToFit="0" readingOrder="0"/>
    </dxf>
    <dxf>
      <numFmt numFmtId="34" formatCode="_-&quot;Rp&quot;* #,##0.00_-;\-&quot;Rp&quot;* #,##0.00_-;_-&quot;Rp&quot;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BD10FFA-E3EC-4C45-8092-E39826F62281}" name="Table9" displayName="Table9" ref="A1:H312" totalsRowShown="0" headerRowDxfId="43" dataDxfId="42">
  <autoFilter ref="A1:H312" xr:uid="{4BD10FFA-E3EC-4C45-8092-E39826F62281}"/>
  <tableColumns count="8">
    <tableColumn id="1" xr3:uid="{2100684D-AFA1-424F-A56E-8827D70A82A7}" name="Tanggal Penjualan" dataDxfId="1"/>
    <tableColumn id="2" xr3:uid="{BF9CEC73-730E-4F03-84AD-D58A9271F7DB}" name="Produk Terjual" dataDxfId="0"/>
    <tableColumn id="3" xr3:uid="{671AD503-6247-4F43-91B7-164D6B02A89F}" name="Unit Terjual" dataDxfId="49"/>
    <tableColumn id="4" xr3:uid="{17232BCA-DEE6-47FB-97A7-E020E42D510B}" name="Harga Per Unit" dataDxfId="48"/>
    <tableColumn id="5" xr3:uid="{4C040F0B-E222-4ECE-AA8E-6664EBA95129}" name="Total" dataDxfId="47">
      <calculatedColumnFormula>D2*C2</calculatedColumnFormula>
    </tableColumn>
    <tableColumn id="7" xr3:uid="{8B0788ED-26EC-4E26-9A3E-876F3BEB5BB7}" name="Tanggal Pengeluaran" dataDxfId="46"/>
    <tableColumn id="8" xr3:uid="{BC281D1A-B286-4C23-A6D5-809D019EED53}" name="Jenis Pengeluaran" dataDxfId="45"/>
    <tableColumn id="9" xr3:uid="{B3BF1C85-841D-4489-9FC0-5B9123E3BFC5}" name="Total Penegluaran" dataDxfId="4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4ECE2B0-0CF9-4CA5-8A7B-83CCE35BCEF6}" name="Table11" displayName="Table11" ref="A1:H347" totalsRowShown="0" headerRowDxfId="33" dataDxfId="32">
  <autoFilter ref="A1:H347" xr:uid="{14ECE2B0-0CF9-4CA5-8A7B-83CCE35BCEF6}"/>
  <tableColumns count="8">
    <tableColumn id="1" xr3:uid="{BDD74CD5-515B-47E6-8134-306835773D0D}" name="Tanggal Penjualan" dataDxfId="41"/>
    <tableColumn id="2" xr3:uid="{CDFC2E08-13A4-4CED-B419-DB8C06BAC84A}" name="Produk Terjual" dataDxfId="40"/>
    <tableColumn id="3" xr3:uid="{6DEE21F6-7A55-47AD-89C6-ACC639770B39}" name="Unit Terjual" dataDxfId="39"/>
    <tableColumn id="4" xr3:uid="{D8A78EB2-21E3-4758-83F5-6E7A76BBB65E}" name="Harga Per Unit" dataDxfId="38"/>
    <tableColumn id="5" xr3:uid="{9DDDD203-6E70-485D-AEC8-4097B6C4DC95}" name="Total" dataDxfId="37">
      <calculatedColumnFormula>D2*C2</calculatedColumnFormula>
    </tableColumn>
    <tableColumn id="7" xr3:uid="{77C72E44-B757-4E9E-8ED4-54031596ABAE}" name="Tanggal Pengeluaran" dataDxfId="36"/>
    <tableColumn id="8" xr3:uid="{1AB91A2A-47B2-40C6-B827-89F802F44E2B}" name="Jenis Pengeluaran" dataDxfId="35"/>
    <tableColumn id="9" xr3:uid="{D3EC427C-E925-4B50-95E6-F44285526C25}" name="Total Penegluaran" dataDxfId="3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34DD479-20A9-47DD-A5ED-B4F819BF8FE3}" name="Table16" displayName="Table16" ref="A1:H323" totalsRowShown="0" headerRowDxfId="23" dataDxfId="22">
  <autoFilter ref="A1:H323" xr:uid="{534DD479-20A9-47DD-A5ED-B4F819BF8FE3}"/>
  <tableColumns count="8">
    <tableColumn id="1" xr3:uid="{F3AD274D-F8D1-4E89-891A-17ADDEB91223}" name="Tanggal Penjualan" dataDxfId="31"/>
    <tableColumn id="2" xr3:uid="{2857D66F-77A7-4F56-82F8-E8DC614D3984}" name="Produk Terjual" dataDxfId="30"/>
    <tableColumn id="3" xr3:uid="{938C4BCE-A2C5-4283-9AFB-622F2A83C9EE}" name="Unit Terjual" dataDxfId="29"/>
    <tableColumn id="4" xr3:uid="{CB34C62B-2DE0-489A-9B5C-58A4E7309361}" name="Harga Per Unit" dataDxfId="28"/>
    <tableColumn id="5" xr3:uid="{2B95951E-795B-471C-84EF-2DA7BC3AB211}" name="Total" dataDxfId="27">
      <calculatedColumnFormula>D2*C2</calculatedColumnFormula>
    </tableColumn>
    <tableColumn id="7" xr3:uid="{5B68FF0E-CB7B-4F82-9065-BB314B2201A2}" name="Tanggal Pengeluaran" dataDxfId="26"/>
    <tableColumn id="8" xr3:uid="{DEE8F36D-E28E-4889-BDA1-D4499532EFAE}" name="Jenis Pengeluaran" dataDxfId="25"/>
    <tableColumn id="9" xr3:uid="{E13911A4-9A36-48CA-8E53-E9AF8115D4AD}" name="Total Penegluaran" dataDxfId="24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BE87706-1A32-41F0-8CE6-2301D656D7D6}" name="Table14" displayName="Table14" ref="A1:H380" totalsRowShown="0" headerRowDxfId="13" dataDxfId="12">
  <autoFilter ref="A1:H380" xr:uid="{7BE87706-1A32-41F0-8CE6-2301D656D7D6}"/>
  <tableColumns count="8">
    <tableColumn id="1" xr3:uid="{C95AA781-F8F0-4D99-8F4D-6CB9AFB927F8}" name="Tanggal Penjualan" dataDxfId="21"/>
    <tableColumn id="2" xr3:uid="{AC2D41EA-473C-4040-8729-C90EA3D4CB38}" name="Produk Terjual" dataDxfId="20"/>
    <tableColumn id="3" xr3:uid="{C14336CB-C691-463A-A2A1-81FA8C17FAA0}" name="Unit Terjual" dataDxfId="19"/>
    <tableColumn id="4" xr3:uid="{00F320B8-505C-4040-BD1E-9238C7DF5410}" name="Harga Per Unit" dataDxfId="18"/>
    <tableColumn id="5" xr3:uid="{FDD54E7C-9C13-48E0-9890-7703855A2B99}" name="Total" dataDxfId="17">
      <calculatedColumnFormula>D2*C2</calculatedColumnFormula>
    </tableColumn>
    <tableColumn id="7" xr3:uid="{05A4EF8A-F646-4C5F-A9D6-1B37BE2B472E}" name="Tanggal Pengeluaran" dataDxfId="16"/>
    <tableColumn id="8" xr3:uid="{CA118D56-38E5-4918-873D-DFBFB1906FD6}" name="Jenis Pengeluaran" dataDxfId="15"/>
    <tableColumn id="9" xr3:uid="{229E51EA-B351-43FA-BB78-35A26065B973}" name="Total Penegluaran" dataDxfId="14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B32DFA2-63D2-45E3-B898-E9A145FC54DB}" name="Table15" displayName="Table15" ref="A1:H270" totalsRowShown="0" headerRowDxfId="3" dataDxfId="2">
  <autoFilter ref="A1:H270" xr:uid="{AB32DFA2-63D2-45E3-B898-E9A145FC54DB}"/>
  <tableColumns count="8">
    <tableColumn id="1" xr3:uid="{9273870E-C657-4EC7-A7DC-221D14AF9374}" name="Tanggal Penjualan" dataDxfId="11"/>
    <tableColumn id="2" xr3:uid="{B23DEA9F-5AF3-4C38-9BA6-B95332E34FC6}" name="Produk Terjual" dataDxfId="10"/>
    <tableColumn id="3" xr3:uid="{5968D630-1377-4935-B783-DDB9681EB14C}" name="Unit Terjual" dataDxfId="9"/>
    <tableColumn id="4" xr3:uid="{96B3E48D-19CD-426C-B3E6-3786477AB98E}" name="Harga Per Unit" dataDxfId="8"/>
    <tableColumn id="5" xr3:uid="{0AFF2050-35E7-4F0F-9371-971C43A8CC23}" name="Total" dataDxfId="7">
      <calculatedColumnFormula>D2*C2</calculatedColumnFormula>
    </tableColumn>
    <tableColumn id="7" xr3:uid="{7E0C387E-1CAE-488C-AA93-727CB7974CB3}" name="Tanggal Pengeluaran" dataDxfId="6"/>
    <tableColumn id="8" xr3:uid="{F5111ED3-4E20-4468-9AB1-089AD17511BE}" name="Jenis Pengeluaran" dataDxfId="5"/>
    <tableColumn id="9" xr3:uid="{5F0BD8BD-69FA-4D23-9500-82F234C4659C}" name="Total Penegluaran" dataDxfId="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8576"/>
  <sheetViews>
    <sheetView topLeftCell="A3" workbookViewId="0">
      <selection activeCell="G41" sqref="G41"/>
    </sheetView>
  </sheetViews>
  <sheetFormatPr defaultRowHeight="15.5" x14ac:dyDescent="0.35"/>
  <cols>
    <col min="1" max="1" width="18.1640625" style="40" customWidth="1"/>
    <col min="2" max="2" width="26.33203125" style="8" customWidth="1"/>
    <col min="3" max="3" width="14.25" style="8" customWidth="1"/>
    <col min="4" max="5" width="18.1640625" style="15" customWidth="1"/>
    <col min="6" max="6" width="18.1640625" style="19" customWidth="1"/>
    <col min="7" max="7" width="18.1640625" style="8" customWidth="1"/>
    <col min="8" max="8" width="18.1640625" style="22" customWidth="1"/>
  </cols>
  <sheetData>
    <row r="1" spans="1:8" x14ac:dyDescent="0.35">
      <c r="A1" s="12" t="s">
        <v>842</v>
      </c>
      <c r="B1" s="7" t="s">
        <v>835</v>
      </c>
      <c r="C1" s="7" t="s">
        <v>836</v>
      </c>
      <c r="D1" s="14" t="s">
        <v>837</v>
      </c>
      <c r="E1" s="14" t="s">
        <v>838</v>
      </c>
      <c r="F1" s="18" t="s">
        <v>839</v>
      </c>
      <c r="G1" s="7" t="s">
        <v>840</v>
      </c>
      <c r="H1" s="21" t="s">
        <v>841</v>
      </c>
    </row>
    <row r="2" spans="1:8" x14ac:dyDescent="0.35">
      <c r="A2" s="50">
        <v>43102</v>
      </c>
    </row>
    <row r="3" spans="1:8" x14ac:dyDescent="0.35">
      <c r="A3" s="50">
        <v>43102</v>
      </c>
      <c r="B3" s="8" t="s">
        <v>0</v>
      </c>
      <c r="C3" s="8">
        <v>86</v>
      </c>
      <c r="D3" s="15">
        <v>1000</v>
      </c>
      <c r="E3" s="15">
        <f>D3*C3</f>
        <v>86000</v>
      </c>
      <c r="F3" s="19">
        <v>43102</v>
      </c>
      <c r="G3" s="8" t="s">
        <v>14</v>
      </c>
      <c r="H3" s="22">
        <v>18000</v>
      </c>
    </row>
    <row r="4" spans="1:8" x14ac:dyDescent="0.35">
      <c r="A4" s="50">
        <v>43102</v>
      </c>
      <c r="B4" s="8" t="s">
        <v>1</v>
      </c>
      <c r="C4" s="8">
        <v>2</v>
      </c>
      <c r="D4" s="15">
        <v>50000</v>
      </c>
      <c r="E4" s="15">
        <f t="shared" ref="E4:E67" si="0">D4*C4</f>
        <v>100000</v>
      </c>
      <c r="F4" s="19">
        <v>43102</v>
      </c>
      <c r="G4" s="8" t="s">
        <v>15</v>
      </c>
      <c r="H4" s="22">
        <v>100000</v>
      </c>
    </row>
    <row r="5" spans="1:8" x14ac:dyDescent="0.35">
      <c r="A5" s="50">
        <v>43102</v>
      </c>
      <c r="B5" s="8" t="s">
        <v>2</v>
      </c>
      <c r="C5" s="8">
        <v>10</v>
      </c>
      <c r="D5" s="15">
        <v>8000</v>
      </c>
      <c r="E5" s="15">
        <f t="shared" si="0"/>
        <v>80000</v>
      </c>
    </row>
    <row r="6" spans="1:8" x14ac:dyDescent="0.35">
      <c r="A6" s="50">
        <v>43102</v>
      </c>
      <c r="B6" s="8" t="s">
        <v>3</v>
      </c>
      <c r="C6" s="8">
        <v>10</v>
      </c>
      <c r="D6" s="15">
        <v>55000</v>
      </c>
      <c r="E6" s="15">
        <f t="shared" si="0"/>
        <v>550000</v>
      </c>
      <c r="F6" s="19">
        <v>43103</v>
      </c>
      <c r="G6" s="8" t="s">
        <v>16</v>
      </c>
      <c r="H6" s="22">
        <v>25000</v>
      </c>
    </row>
    <row r="7" spans="1:8" x14ac:dyDescent="0.35">
      <c r="A7" s="50">
        <v>43102</v>
      </c>
      <c r="B7" s="8" t="s">
        <v>1</v>
      </c>
      <c r="C7" s="8">
        <v>2</v>
      </c>
      <c r="D7" s="15">
        <v>50000</v>
      </c>
      <c r="E7" s="15">
        <f t="shared" si="0"/>
        <v>100000</v>
      </c>
      <c r="F7" s="19">
        <v>43103</v>
      </c>
      <c r="G7" s="8" t="s">
        <v>17</v>
      </c>
      <c r="H7" s="22">
        <v>25000</v>
      </c>
    </row>
    <row r="8" spans="1:8" x14ac:dyDescent="0.35">
      <c r="A8" s="50">
        <v>43102</v>
      </c>
      <c r="B8" s="8" t="s">
        <v>4</v>
      </c>
      <c r="C8" s="8">
        <v>72</v>
      </c>
      <c r="D8" s="15">
        <v>34000</v>
      </c>
      <c r="E8" s="15">
        <f t="shared" si="0"/>
        <v>2448000</v>
      </c>
    </row>
    <row r="9" spans="1:8" x14ac:dyDescent="0.35">
      <c r="A9" s="50">
        <v>43102</v>
      </c>
      <c r="B9" s="8" t="s">
        <v>4</v>
      </c>
      <c r="C9" s="8">
        <v>1</v>
      </c>
      <c r="D9" s="15">
        <v>38000</v>
      </c>
      <c r="E9" s="15">
        <f t="shared" si="0"/>
        <v>38000</v>
      </c>
      <c r="F9" s="19">
        <v>43110</v>
      </c>
      <c r="G9" s="8" t="s">
        <v>17</v>
      </c>
      <c r="H9" s="22">
        <v>100000</v>
      </c>
    </row>
    <row r="10" spans="1:8" x14ac:dyDescent="0.35">
      <c r="A10" s="50">
        <v>43102</v>
      </c>
      <c r="B10" s="8" t="s">
        <v>5</v>
      </c>
      <c r="C10" s="8">
        <v>10</v>
      </c>
      <c r="D10" s="15">
        <v>10000</v>
      </c>
      <c r="E10" s="15">
        <f t="shared" si="0"/>
        <v>100000</v>
      </c>
    </row>
    <row r="11" spans="1:8" x14ac:dyDescent="0.35">
      <c r="A11" s="50">
        <v>43102</v>
      </c>
      <c r="B11" s="8" t="s">
        <v>6</v>
      </c>
      <c r="C11" s="8">
        <v>90</v>
      </c>
      <c r="D11" s="15">
        <v>49000</v>
      </c>
      <c r="E11" s="15">
        <f t="shared" si="0"/>
        <v>4410000</v>
      </c>
      <c r="F11" s="19">
        <v>43111</v>
      </c>
      <c r="G11" s="8" t="s">
        <v>17</v>
      </c>
      <c r="H11" s="22">
        <v>50000</v>
      </c>
    </row>
    <row r="12" spans="1:8" x14ac:dyDescent="0.35">
      <c r="A12" s="50">
        <v>43102</v>
      </c>
      <c r="B12" s="8" t="s">
        <v>7</v>
      </c>
      <c r="C12" s="8">
        <v>10</v>
      </c>
      <c r="D12" s="15">
        <v>46000</v>
      </c>
      <c r="E12" s="15">
        <f t="shared" si="0"/>
        <v>460000</v>
      </c>
    </row>
    <row r="13" spans="1:8" x14ac:dyDescent="0.35">
      <c r="A13" s="50">
        <v>43102</v>
      </c>
      <c r="B13" s="8" t="s">
        <v>8</v>
      </c>
      <c r="C13" s="8">
        <v>10</v>
      </c>
      <c r="D13" s="15">
        <v>55000</v>
      </c>
      <c r="E13" s="15">
        <f t="shared" si="0"/>
        <v>550000</v>
      </c>
      <c r="F13" s="19">
        <v>43112</v>
      </c>
      <c r="G13" s="8" t="s">
        <v>15</v>
      </c>
      <c r="H13" s="22">
        <v>100000</v>
      </c>
    </row>
    <row r="14" spans="1:8" x14ac:dyDescent="0.35">
      <c r="A14" s="50">
        <v>43102</v>
      </c>
      <c r="B14" s="8" t="s">
        <v>9</v>
      </c>
      <c r="C14" s="8">
        <v>21</v>
      </c>
      <c r="D14" s="15">
        <v>56000</v>
      </c>
      <c r="E14" s="15">
        <f t="shared" si="0"/>
        <v>1176000</v>
      </c>
      <c r="F14" s="19">
        <v>43112</v>
      </c>
      <c r="G14" s="8" t="s">
        <v>76</v>
      </c>
      <c r="H14" s="22">
        <v>15000</v>
      </c>
    </row>
    <row r="15" spans="1:8" x14ac:dyDescent="0.35">
      <c r="A15" s="50">
        <v>43102</v>
      </c>
      <c r="B15" s="8" t="s">
        <v>10</v>
      </c>
      <c r="C15" s="8">
        <v>4</v>
      </c>
      <c r="D15" s="15">
        <v>45000</v>
      </c>
      <c r="E15" s="15">
        <f t="shared" si="0"/>
        <v>180000</v>
      </c>
    </row>
    <row r="16" spans="1:8" x14ac:dyDescent="0.35">
      <c r="A16" s="50">
        <v>43102</v>
      </c>
      <c r="B16" s="8" t="s">
        <v>11</v>
      </c>
      <c r="C16" s="8">
        <v>13</v>
      </c>
      <c r="D16" s="15">
        <v>1600</v>
      </c>
      <c r="E16" s="15">
        <f t="shared" si="0"/>
        <v>20800</v>
      </c>
      <c r="F16" s="19">
        <v>43113</v>
      </c>
      <c r="G16" s="8" t="s">
        <v>77</v>
      </c>
      <c r="H16" s="22">
        <v>360000</v>
      </c>
    </row>
    <row r="17" spans="1:8" x14ac:dyDescent="0.35">
      <c r="A17" s="50">
        <v>43102</v>
      </c>
      <c r="B17" s="8" t="s">
        <v>12</v>
      </c>
      <c r="C17" s="8">
        <v>2</v>
      </c>
      <c r="D17" s="15">
        <v>50000</v>
      </c>
      <c r="E17" s="15">
        <f t="shared" si="0"/>
        <v>100000</v>
      </c>
      <c r="F17" s="19">
        <v>43113</v>
      </c>
      <c r="G17" s="8" t="s">
        <v>78</v>
      </c>
      <c r="H17" s="22">
        <v>735000</v>
      </c>
    </row>
    <row r="18" spans="1:8" x14ac:dyDescent="0.35">
      <c r="A18" s="50">
        <v>43102</v>
      </c>
      <c r="B18" s="8" t="s">
        <v>13</v>
      </c>
      <c r="C18" s="8">
        <v>5</v>
      </c>
      <c r="D18" s="15">
        <v>48000</v>
      </c>
      <c r="E18" s="15">
        <f t="shared" si="0"/>
        <v>240000</v>
      </c>
    </row>
    <row r="19" spans="1:8" x14ac:dyDescent="0.35">
      <c r="A19" s="50">
        <v>43103</v>
      </c>
      <c r="E19" s="15">
        <f t="shared" si="0"/>
        <v>0</v>
      </c>
      <c r="F19" s="19">
        <v>43116</v>
      </c>
      <c r="G19" s="8" t="s">
        <v>15</v>
      </c>
      <c r="H19" s="22">
        <v>100000</v>
      </c>
    </row>
    <row r="20" spans="1:8" x14ac:dyDescent="0.35">
      <c r="A20" s="50">
        <v>43103</v>
      </c>
      <c r="B20" s="8" t="s">
        <v>18</v>
      </c>
      <c r="C20" s="8">
        <v>1</v>
      </c>
      <c r="D20" s="15">
        <v>52000</v>
      </c>
      <c r="E20" s="15">
        <f t="shared" si="0"/>
        <v>52000</v>
      </c>
    </row>
    <row r="21" spans="1:8" x14ac:dyDescent="0.35">
      <c r="A21" s="50">
        <v>43103</v>
      </c>
      <c r="B21" s="8" t="s">
        <v>19</v>
      </c>
      <c r="C21" s="8">
        <v>3</v>
      </c>
      <c r="D21" s="15">
        <v>50000</v>
      </c>
      <c r="E21" s="15">
        <f t="shared" si="0"/>
        <v>150000</v>
      </c>
      <c r="F21" s="19">
        <v>43118</v>
      </c>
      <c r="G21" s="8" t="s">
        <v>108</v>
      </c>
      <c r="H21" s="22">
        <v>100000</v>
      </c>
    </row>
    <row r="22" spans="1:8" x14ac:dyDescent="0.35">
      <c r="A22" s="50">
        <v>43103</v>
      </c>
      <c r="B22" s="8" t="s">
        <v>20</v>
      </c>
      <c r="C22" s="8">
        <v>30</v>
      </c>
      <c r="D22" s="15">
        <v>2000</v>
      </c>
      <c r="E22" s="15">
        <f t="shared" si="0"/>
        <v>60000</v>
      </c>
    </row>
    <row r="23" spans="1:8" x14ac:dyDescent="0.35">
      <c r="A23" s="50">
        <v>43103</v>
      </c>
      <c r="B23" s="8" t="s">
        <v>21</v>
      </c>
      <c r="C23" s="8">
        <v>2</v>
      </c>
      <c r="D23" s="15">
        <v>58000</v>
      </c>
      <c r="E23" s="15">
        <f t="shared" si="0"/>
        <v>116000</v>
      </c>
      <c r="F23" s="19">
        <v>43119</v>
      </c>
      <c r="G23" s="8" t="s">
        <v>15</v>
      </c>
      <c r="H23" s="22">
        <v>100000</v>
      </c>
    </row>
    <row r="24" spans="1:8" x14ac:dyDescent="0.35">
      <c r="A24" s="50">
        <v>43103</v>
      </c>
      <c r="B24" s="8" t="s">
        <v>22</v>
      </c>
      <c r="C24" s="8">
        <v>3</v>
      </c>
      <c r="D24" s="15">
        <v>45000</v>
      </c>
      <c r="E24" s="15">
        <f t="shared" si="0"/>
        <v>135000</v>
      </c>
      <c r="F24" s="19">
        <v>43119</v>
      </c>
      <c r="G24" s="8" t="s">
        <v>121</v>
      </c>
      <c r="H24" s="22">
        <v>90000</v>
      </c>
    </row>
    <row r="25" spans="1:8" x14ac:dyDescent="0.35">
      <c r="A25" s="50">
        <v>43103</v>
      </c>
      <c r="B25" s="8" t="s">
        <v>23</v>
      </c>
      <c r="C25" s="8">
        <v>1</v>
      </c>
      <c r="D25" s="15">
        <v>48000</v>
      </c>
      <c r="E25" s="15">
        <f t="shared" si="0"/>
        <v>48000</v>
      </c>
    </row>
    <row r="26" spans="1:8" x14ac:dyDescent="0.35">
      <c r="A26" s="50">
        <v>43103</v>
      </c>
      <c r="B26" s="8" t="s">
        <v>24</v>
      </c>
      <c r="C26" s="8">
        <v>5</v>
      </c>
      <c r="D26" s="15">
        <v>58000</v>
      </c>
      <c r="E26" s="15">
        <f t="shared" si="0"/>
        <v>290000</v>
      </c>
      <c r="F26" s="19">
        <v>43120</v>
      </c>
      <c r="G26" s="8" t="s">
        <v>77</v>
      </c>
      <c r="H26" s="22">
        <v>360000</v>
      </c>
    </row>
    <row r="27" spans="1:8" x14ac:dyDescent="0.35">
      <c r="A27" s="50">
        <v>43103</v>
      </c>
      <c r="B27" s="8" t="s">
        <v>25</v>
      </c>
      <c r="C27" s="8">
        <v>5</v>
      </c>
      <c r="D27" s="15">
        <v>54000</v>
      </c>
      <c r="E27" s="15">
        <f t="shared" si="0"/>
        <v>270000</v>
      </c>
    </row>
    <row r="28" spans="1:8" x14ac:dyDescent="0.35">
      <c r="A28" s="50">
        <v>43103</v>
      </c>
      <c r="B28" s="8" t="s">
        <v>26</v>
      </c>
      <c r="C28" s="8">
        <v>3</v>
      </c>
      <c r="D28" s="15">
        <v>50000</v>
      </c>
      <c r="E28" s="15">
        <f t="shared" si="0"/>
        <v>150000</v>
      </c>
      <c r="F28" s="19">
        <v>43122</v>
      </c>
      <c r="G28" s="8" t="s">
        <v>130</v>
      </c>
      <c r="H28" s="22">
        <v>15000</v>
      </c>
    </row>
    <row r="29" spans="1:8" x14ac:dyDescent="0.35">
      <c r="A29" s="50">
        <v>43104</v>
      </c>
      <c r="E29" s="15">
        <f t="shared" si="0"/>
        <v>0</v>
      </c>
      <c r="F29" s="19">
        <v>43122</v>
      </c>
      <c r="G29" s="8" t="s">
        <v>17</v>
      </c>
      <c r="H29" s="22">
        <v>25000</v>
      </c>
    </row>
    <row r="30" spans="1:8" x14ac:dyDescent="0.35">
      <c r="A30" s="50">
        <v>43104</v>
      </c>
      <c r="B30" s="8" t="s">
        <v>27</v>
      </c>
      <c r="C30" s="8">
        <v>16</v>
      </c>
      <c r="D30" s="15">
        <v>1600</v>
      </c>
      <c r="E30" s="15">
        <f t="shared" si="0"/>
        <v>25600</v>
      </c>
    </row>
    <row r="31" spans="1:8" x14ac:dyDescent="0.35">
      <c r="A31" s="50">
        <v>43104</v>
      </c>
      <c r="B31" s="8" t="s">
        <v>3</v>
      </c>
      <c r="C31" s="8">
        <v>3</v>
      </c>
      <c r="D31" s="15">
        <v>56000</v>
      </c>
      <c r="E31" s="15">
        <f t="shared" si="0"/>
        <v>168000</v>
      </c>
      <c r="F31" s="19">
        <v>43123</v>
      </c>
      <c r="G31" s="8" t="s">
        <v>15</v>
      </c>
      <c r="H31" s="22">
        <v>150000</v>
      </c>
    </row>
    <row r="32" spans="1:8" x14ac:dyDescent="0.35">
      <c r="A32" s="50">
        <v>43104</v>
      </c>
      <c r="B32" s="8" t="s">
        <v>28</v>
      </c>
      <c r="C32" s="8">
        <v>25</v>
      </c>
      <c r="D32" s="15">
        <v>2000</v>
      </c>
      <c r="E32" s="15">
        <f t="shared" si="0"/>
        <v>50000</v>
      </c>
      <c r="F32" s="19">
        <v>43123</v>
      </c>
      <c r="G32" s="8" t="s">
        <v>17</v>
      </c>
      <c r="H32" s="22">
        <v>25000</v>
      </c>
    </row>
    <row r="33" spans="1:8" x14ac:dyDescent="0.35">
      <c r="A33" s="50">
        <v>43104</v>
      </c>
      <c r="B33" s="8" t="s">
        <v>29</v>
      </c>
      <c r="C33" s="8">
        <v>2</v>
      </c>
      <c r="D33" s="15">
        <v>52000</v>
      </c>
      <c r="E33" s="15">
        <f t="shared" si="0"/>
        <v>104000</v>
      </c>
    </row>
    <row r="34" spans="1:8" x14ac:dyDescent="0.35">
      <c r="A34" s="50">
        <v>43104</v>
      </c>
      <c r="B34" s="8" t="s">
        <v>30</v>
      </c>
      <c r="C34" s="8">
        <v>10</v>
      </c>
      <c r="D34" s="15">
        <v>47000</v>
      </c>
      <c r="E34" s="15">
        <f t="shared" si="0"/>
        <v>470000</v>
      </c>
      <c r="F34" s="19">
        <v>43124</v>
      </c>
      <c r="G34" s="8" t="s">
        <v>17</v>
      </c>
      <c r="H34" s="22">
        <v>125000</v>
      </c>
    </row>
    <row r="35" spans="1:8" x14ac:dyDescent="0.35">
      <c r="A35" s="50">
        <v>43104</v>
      </c>
      <c r="B35" s="8" t="s">
        <v>31</v>
      </c>
      <c r="C35" s="8">
        <v>5</v>
      </c>
      <c r="D35" s="15">
        <v>45000</v>
      </c>
      <c r="E35" s="15">
        <f t="shared" si="0"/>
        <v>225000</v>
      </c>
    </row>
    <row r="36" spans="1:8" x14ac:dyDescent="0.35">
      <c r="A36" s="50">
        <v>43104</v>
      </c>
      <c r="B36" s="8" t="s">
        <v>32</v>
      </c>
      <c r="C36" s="8">
        <v>18</v>
      </c>
      <c r="D36" s="15">
        <v>43000</v>
      </c>
      <c r="E36" s="15">
        <f t="shared" si="0"/>
        <v>774000</v>
      </c>
      <c r="F36" s="19">
        <v>43130</v>
      </c>
      <c r="G36" s="8" t="s">
        <v>15</v>
      </c>
      <c r="H36" s="22">
        <v>150000</v>
      </c>
    </row>
    <row r="37" spans="1:8" x14ac:dyDescent="0.35">
      <c r="A37" s="50">
        <v>43105</v>
      </c>
      <c r="E37" s="15">
        <f t="shared" si="0"/>
        <v>0</v>
      </c>
    </row>
    <row r="38" spans="1:8" x14ac:dyDescent="0.35">
      <c r="A38" s="50">
        <v>43105</v>
      </c>
      <c r="B38" s="8" t="s">
        <v>7</v>
      </c>
      <c r="C38" s="8">
        <v>2</v>
      </c>
      <c r="D38" s="15">
        <v>41000</v>
      </c>
      <c r="E38" s="15">
        <f t="shared" si="0"/>
        <v>82000</v>
      </c>
    </row>
    <row r="39" spans="1:8" x14ac:dyDescent="0.35">
      <c r="A39" s="50">
        <v>43105</v>
      </c>
      <c r="B39" s="8" t="s">
        <v>33</v>
      </c>
      <c r="C39" s="8">
        <v>4</v>
      </c>
      <c r="D39" s="15">
        <v>49000</v>
      </c>
      <c r="E39" s="15">
        <f t="shared" si="0"/>
        <v>196000</v>
      </c>
    </row>
    <row r="40" spans="1:8" x14ac:dyDescent="0.35">
      <c r="A40" s="50">
        <v>43105</v>
      </c>
      <c r="B40" s="8" t="s">
        <v>34</v>
      </c>
      <c r="C40" s="8">
        <v>5</v>
      </c>
      <c r="D40" s="15">
        <v>46000</v>
      </c>
      <c r="E40" s="15">
        <f t="shared" si="0"/>
        <v>230000</v>
      </c>
    </row>
    <row r="41" spans="1:8" x14ac:dyDescent="0.35">
      <c r="A41" s="50">
        <v>43105</v>
      </c>
      <c r="B41" s="8" t="s">
        <v>35</v>
      </c>
      <c r="C41" s="8">
        <v>12</v>
      </c>
      <c r="D41" s="15">
        <v>37000</v>
      </c>
      <c r="E41" s="15">
        <f t="shared" si="0"/>
        <v>444000</v>
      </c>
      <c r="G41" s="8" t="s">
        <v>838</v>
      </c>
      <c r="H41" s="22">
        <f>SUM(H2:H40)</f>
        <v>2768000</v>
      </c>
    </row>
    <row r="42" spans="1:8" x14ac:dyDescent="0.35">
      <c r="A42" s="50">
        <v>43106</v>
      </c>
      <c r="E42" s="15">
        <f t="shared" si="0"/>
        <v>0</v>
      </c>
    </row>
    <row r="43" spans="1:8" x14ac:dyDescent="0.35">
      <c r="A43" s="50">
        <v>43106</v>
      </c>
      <c r="B43" s="8" t="s">
        <v>36</v>
      </c>
      <c r="C43" s="8">
        <v>6</v>
      </c>
      <c r="D43" s="15">
        <v>46000</v>
      </c>
      <c r="E43" s="15">
        <f t="shared" si="0"/>
        <v>276000</v>
      </c>
    </row>
    <row r="44" spans="1:8" x14ac:dyDescent="0.35">
      <c r="A44" s="50">
        <v>43106</v>
      </c>
      <c r="B44" s="8" t="s">
        <v>25</v>
      </c>
      <c r="C44" s="8">
        <v>9</v>
      </c>
      <c r="D44" s="15">
        <v>52500</v>
      </c>
      <c r="E44" s="15">
        <f t="shared" si="0"/>
        <v>472500</v>
      </c>
    </row>
    <row r="45" spans="1:8" x14ac:dyDescent="0.35">
      <c r="A45" s="50">
        <v>43106</v>
      </c>
      <c r="B45" s="8" t="s">
        <v>37</v>
      </c>
      <c r="C45" s="8">
        <v>2</v>
      </c>
      <c r="D45" s="15">
        <v>49000</v>
      </c>
      <c r="E45" s="15">
        <f t="shared" si="0"/>
        <v>98000</v>
      </c>
    </row>
    <row r="46" spans="1:8" x14ac:dyDescent="0.35">
      <c r="A46" s="50">
        <v>43106</v>
      </c>
      <c r="B46" s="8" t="s">
        <v>38</v>
      </c>
      <c r="C46" s="8">
        <v>1</v>
      </c>
      <c r="D46" s="15">
        <v>50000</v>
      </c>
      <c r="E46" s="15">
        <f t="shared" si="0"/>
        <v>50000</v>
      </c>
    </row>
    <row r="47" spans="1:8" x14ac:dyDescent="0.35">
      <c r="A47" s="50">
        <v>43106</v>
      </c>
      <c r="B47" s="8" t="s">
        <v>35</v>
      </c>
      <c r="C47" s="8">
        <v>36</v>
      </c>
      <c r="D47" s="15">
        <v>33500</v>
      </c>
      <c r="E47" s="15">
        <f t="shared" si="0"/>
        <v>1206000</v>
      </c>
    </row>
    <row r="48" spans="1:8" x14ac:dyDescent="0.35">
      <c r="A48" s="50">
        <v>43106</v>
      </c>
      <c r="B48" s="8" t="s">
        <v>39</v>
      </c>
      <c r="C48" s="8">
        <v>1</v>
      </c>
      <c r="D48" s="15">
        <v>46000</v>
      </c>
      <c r="E48" s="15">
        <f t="shared" si="0"/>
        <v>46000</v>
      </c>
    </row>
    <row r="49" spans="1:5" x14ac:dyDescent="0.35">
      <c r="A49" s="50">
        <v>43106</v>
      </c>
      <c r="B49" s="8" t="s">
        <v>7</v>
      </c>
      <c r="C49" s="8">
        <v>16</v>
      </c>
      <c r="D49" s="15">
        <v>41000</v>
      </c>
      <c r="E49" s="15">
        <f t="shared" si="0"/>
        <v>656000</v>
      </c>
    </row>
    <row r="50" spans="1:5" x14ac:dyDescent="0.35">
      <c r="A50" s="50">
        <v>43106</v>
      </c>
      <c r="B50" s="8" t="s">
        <v>19</v>
      </c>
      <c r="C50" s="8">
        <v>1</v>
      </c>
      <c r="D50" s="15">
        <v>50000</v>
      </c>
      <c r="E50" s="15">
        <f t="shared" si="0"/>
        <v>50000</v>
      </c>
    </row>
    <row r="51" spans="1:5" x14ac:dyDescent="0.35">
      <c r="A51" s="50">
        <v>43106</v>
      </c>
      <c r="B51" s="8" t="s">
        <v>40</v>
      </c>
      <c r="C51" s="8">
        <v>1</v>
      </c>
      <c r="D51" s="15">
        <v>45000</v>
      </c>
      <c r="E51" s="15">
        <f t="shared" si="0"/>
        <v>45000</v>
      </c>
    </row>
    <row r="52" spans="1:5" x14ac:dyDescent="0.35">
      <c r="A52" s="50">
        <v>43106</v>
      </c>
      <c r="B52" s="8" t="s">
        <v>2</v>
      </c>
      <c r="C52" s="8">
        <v>5</v>
      </c>
      <c r="D52" s="15">
        <v>8000</v>
      </c>
      <c r="E52" s="15">
        <f t="shared" si="0"/>
        <v>40000</v>
      </c>
    </row>
    <row r="53" spans="1:5" x14ac:dyDescent="0.35">
      <c r="A53" s="50">
        <v>43106</v>
      </c>
      <c r="B53" s="8" t="s">
        <v>41</v>
      </c>
      <c r="C53" s="8">
        <v>1</v>
      </c>
      <c r="D53" s="15">
        <v>52000</v>
      </c>
      <c r="E53" s="15">
        <f t="shared" si="0"/>
        <v>52000</v>
      </c>
    </row>
    <row r="54" spans="1:5" ht="14.25" customHeight="1" x14ac:dyDescent="0.35">
      <c r="A54" s="50">
        <v>43108</v>
      </c>
      <c r="E54" s="15">
        <f t="shared" si="0"/>
        <v>0</v>
      </c>
    </row>
    <row r="55" spans="1:5" ht="15.5" customHeight="1" x14ac:dyDescent="0.35">
      <c r="A55" s="50">
        <v>43108</v>
      </c>
      <c r="B55" s="8" t="s">
        <v>24</v>
      </c>
      <c r="D55" s="15">
        <v>58000</v>
      </c>
      <c r="E55" s="15">
        <f t="shared" si="0"/>
        <v>0</v>
      </c>
    </row>
    <row r="56" spans="1:5" x14ac:dyDescent="0.35">
      <c r="A56" s="50">
        <v>43108</v>
      </c>
      <c r="B56" s="8" t="s">
        <v>25</v>
      </c>
      <c r="C56" s="8">
        <v>2</v>
      </c>
      <c r="D56" s="15">
        <v>52000</v>
      </c>
      <c r="E56" s="15">
        <f t="shared" si="0"/>
        <v>104000</v>
      </c>
    </row>
    <row r="57" spans="1:5" x14ac:dyDescent="0.35">
      <c r="A57" s="50">
        <v>43108</v>
      </c>
      <c r="B57" s="8" t="s">
        <v>42</v>
      </c>
      <c r="C57" s="8">
        <v>4</v>
      </c>
      <c r="D57" s="15">
        <v>1600</v>
      </c>
      <c r="E57" s="15">
        <f t="shared" si="0"/>
        <v>6400</v>
      </c>
    </row>
    <row r="58" spans="1:5" x14ac:dyDescent="0.35">
      <c r="A58" s="50">
        <v>43108</v>
      </c>
      <c r="B58" s="8" t="s">
        <v>43</v>
      </c>
      <c r="C58" s="8">
        <v>1</v>
      </c>
      <c r="D58" s="15">
        <v>45000</v>
      </c>
      <c r="E58" s="15">
        <f t="shared" si="0"/>
        <v>45000</v>
      </c>
    </row>
    <row r="59" spans="1:5" x14ac:dyDescent="0.35">
      <c r="A59" s="50">
        <v>43108</v>
      </c>
      <c r="B59" s="8" t="s">
        <v>35</v>
      </c>
      <c r="C59" s="8">
        <v>8</v>
      </c>
      <c r="D59" s="15">
        <v>37500</v>
      </c>
      <c r="E59" s="15">
        <f t="shared" si="0"/>
        <v>300000</v>
      </c>
    </row>
    <row r="60" spans="1:5" x14ac:dyDescent="0.35">
      <c r="A60" s="50">
        <v>43108</v>
      </c>
      <c r="B60" s="8" t="s">
        <v>20</v>
      </c>
      <c r="C60" s="8">
        <v>60</v>
      </c>
      <c r="D60" s="15">
        <v>2000</v>
      </c>
      <c r="E60" s="15">
        <f t="shared" si="0"/>
        <v>120000</v>
      </c>
    </row>
    <row r="61" spans="1:5" x14ac:dyDescent="0.35">
      <c r="A61" s="50">
        <v>43108</v>
      </c>
      <c r="B61" s="8" t="s">
        <v>44</v>
      </c>
      <c r="C61" s="8">
        <v>5</v>
      </c>
      <c r="D61" s="15">
        <v>52000</v>
      </c>
      <c r="E61" s="15">
        <f t="shared" si="0"/>
        <v>260000</v>
      </c>
    </row>
    <row r="62" spans="1:5" x14ac:dyDescent="0.35">
      <c r="A62" s="50">
        <v>43108</v>
      </c>
      <c r="B62" s="8" t="s">
        <v>45</v>
      </c>
      <c r="C62" s="8">
        <v>32</v>
      </c>
      <c r="D62" s="15">
        <v>48000</v>
      </c>
      <c r="E62" s="15">
        <f t="shared" si="0"/>
        <v>1536000</v>
      </c>
    </row>
    <row r="63" spans="1:5" x14ac:dyDescent="0.35">
      <c r="A63" s="50">
        <v>43108</v>
      </c>
      <c r="B63" s="8" t="s">
        <v>46</v>
      </c>
      <c r="C63" s="8">
        <v>3</v>
      </c>
      <c r="D63" s="15">
        <v>15000</v>
      </c>
      <c r="E63" s="15">
        <f t="shared" si="0"/>
        <v>45000</v>
      </c>
    </row>
    <row r="64" spans="1:5" x14ac:dyDescent="0.35">
      <c r="A64" s="50">
        <v>43108</v>
      </c>
      <c r="B64" s="8" t="s">
        <v>47</v>
      </c>
      <c r="C64" s="8">
        <v>18</v>
      </c>
      <c r="D64" s="15">
        <v>1600</v>
      </c>
      <c r="E64" s="15">
        <f t="shared" si="0"/>
        <v>28800</v>
      </c>
    </row>
    <row r="65" spans="1:5" x14ac:dyDescent="0.35">
      <c r="A65" s="50">
        <v>43108</v>
      </c>
      <c r="B65" s="8" t="s">
        <v>48</v>
      </c>
      <c r="C65" s="8">
        <v>1</v>
      </c>
      <c r="D65" s="15">
        <v>35000</v>
      </c>
      <c r="E65" s="15">
        <f t="shared" si="0"/>
        <v>35000</v>
      </c>
    </row>
    <row r="66" spans="1:5" x14ac:dyDescent="0.35">
      <c r="A66" s="50">
        <v>43108</v>
      </c>
      <c r="B66" s="8" t="s">
        <v>49</v>
      </c>
      <c r="C66" s="8">
        <v>1</v>
      </c>
      <c r="D66" s="15">
        <v>30000</v>
      </c>
      <c r="E66" s="15">
        <f t="shared" si="0"/>
        <v>30000</v>
      </c>
    </row>
    <row r="67" spans="1:5" x14ac:dyDescent="0.35">
      <c r="A67" s="50">
        <v>43109</v>
      </c>
      <c r="E67" s="15">
        <f t="shared" si="0"/>
        <v>0</v>
      </c>
    </row>
    <row r="68" spans="1:5" x14ac:dyDescent="0.35">
      <c r="A68" s="50">
        <v>43109</v>
      </c>
      <c r="B68" s="8" t="s">
        <v>45</v>
      </c>
      <c r="C68" s="8">
        <v>15</v>
      </c>
      <c r="D68" s="15">
        <v>48000</v>
      </c>
      <c r="E68" s="15">
        <f t="shared" ref="E68:E131" si="1">D68*C68</f>
        <v>720000</v>
      </c>
    </row>
    <row r="69" spans="1:5" x14ac:dyDescent="0.35">
      <c r="A69" s="50">
        <v>43109</v>
      </c>
      <c r="B69" s="8" t="s">
        <v>50</v>
      </c>
      <c r="C69" s="8">
        <v>3</v>
      </c>
      <c r="D69" s="15">
        <v>46500</v>
      </c>
      <c r="E69" s="15">
        <f t="shared" si="1"/>
        <v>139500</v>
      </c>
    </row>
    <row r="70" spans="1:5" x14ac:dyDescent="0.35">
      <c r="A70" s="50">
        <v>43109</v>
      </c>
      <c r="B70" s="8" t="s">
        <v>51</v>
      </c>
      <c r="C70" s="8">
        <v>32</v>
      </c>
      <c r="D70" s="15">
        <v>3500</v>
      </c>
      <c r="E70" s="15">
        <f t="shared" si="1"/>
        <v>112000</v>
      </c>
    </row>
    <row r="71" spans="1:5" x14ac:dyDescent="0.35">
      <c r="A71" s="50">
        <v>43109</v>
      </c>
      <c r="B71" s="8" t="s">
        <v>31</v>
      </c>
      <c r="C71" s="8">
        <v>11</v>
      </c>
      <c r="D71" s="15">
        <v>44000</v>
      </c>
      <c r="E71" s="15">
        <f t="shared" si="1"/>
        <v>484000</v>
      </c>
    </row>
    <row r="72" spans="1:5" x14ac:dyDescent="0.35">
      <c r="A72" s="50">
        <v>43109</v>
      </c>
      <c r="B72" s="8" t="s">
        <v>35</v>
      </c>
      <c r="C72" s="8">
        <v>5</v>
      </c>
      <c r="D72" s="15">
        <v>37000</v>
      </c>
      <c r="E72" s="15">
        <f t="shared" si="1"/>
        <v>185000</v>
      </c>
    </row>
    <row r="73" spans="1:5" x14ac:dyDescent="0.35">
      <c r="A73" s="50">
        <v>43109</v>
      </c>
      <c r="B73" s="8" t="s">
        <v>52</v>
      </c>
      <c r="C73" s="8">
        <v>5</v>
      </c>
      <c r="D73" s="15">
        <v>48000</v>
      </c>
      <c r="E73" s="15">
        <f t="shared" si="1"/>
        <v>240000</v>
      </c>
    </row>
    <row r="74" spans="1:5" x14ac:dyDescent="0.35">
      <c r="A74" s="50">
        <v>43110</v>
      </c>
      <c r="E74" s="15">
        <f t="shared" si="1"/>
        <v>0</v>
      </c>
    </row>
    <row r="75" spans="1:5" x14ac:dyDescent="0.35">
      <c r="A75" s="50">
        <v>43110</v>
      </c>
      <c r="B75" s="8" t="s">
        <v>4</v>
      </c>
      <c r="C75" s="8">
        <v>6</v>
      </c>
      <c r="D75" s="15">
        <v>38000</v>
      </c>
      <c r="E75" s="15">
        <f t="shared" si="1"/>
        <v>228000</v>
      </c>
    </row>
    <row r="76" spans="1:5" x14ac:dyDescent="0.35">
      <c r="A76" s="50">
        <v>43110</v>
      </c>
      <c r="B76" s="8" t="s">
        <v>61</v>
      </c>
      <c r="C76" s="8">
        <v>2</v>
      </c>
      <c r="D76" s="15">
        <v>46000</v>
      </c>
      <c r="E76" s="15">
        <f t="shared" si="1"/>
        <v>92000</v>
      </c>
    </row>
    <row r="77" spans="1:5" x14ac:dyDescent="0.35">
      <c r="A77" s="50">
        <v>43110</v>
      </c>
      <c r="B77" s="8" t="s">
        <v>5</v>
      </c>
      <c r="C77" s="8">
        <v>1</v>
      </c>
      <c r="D77" s="15">
        <v>13000</v>
      </c>
      <c r="E77" s="15">
        <f t="shared" si="1"/>
        <v>13000</v>
      </c>
    </row>
    <row r="78" spans="1:5" x14ac:dyDescent="0.35">
      <c r="A78" s="50">
        <v>43110</v>
      </c>
      <c r="B78" s="8" t="s">
        <v>35</v>
      </c>
      <c r="C78" s="8">
        <v>1</v>
      </c>
      <c r="D78" s="15">
        <v>38000</v>
      </c>
      <c r="E78" s="15">
        <f t="shared" si="1"/>
        <v>38000</v>
      </c>
    </row>
    <row r="79" spans="1:5" x14ac:dyDescent="0.35">
      <c r="A79" s="50">
        <v>43110</v>
      </c>
      <c r="B79" s="8" t="s">
        <v>34</v>
      </c>
      <c r="C79" s="8">
        <v>57</v>
      </c>
      <c r="D79" s="15">
        <v>45000</v>
      </c>
      <c r="E79" s="15">
        <f t="shared" si="1"/>
        <v>2565000</v>
      </c>
    </row>
    <row r="80" spans="1:5" x14ac:dyDescent="0.35">
      <c r="A80" s="50">
        <v>43110</v>
      </c>
      <c r="B80" s="8" t="s">
        <v>60</v>
      </c>
      <c r="C80" s="8">
        <v>2</v>
      </c>
      <c r="D80" s="15">
        <v>54000</v>
      </c>
      <c r="E80" s="15">
        <f t="shared" si="1"/>
        <v>108000</v>
      </c>
    </row>
    <row r="81" spans="1:5" x14ac:dyDescent="0.35">
      <c r="A81" s="50">
        <v>43110</v>
      </c>
      <c r="B81" s="8" t="s">
        <v>25</v>
      </c>
      <c r="C81" s="8">
        <v>1</v>
      </c>
      <c r="D81" s="15">
        <v>54000</v>
      </c>
      <c r="E81" s="15">
        <f t="shared" si="1"/>
        <v>54000</v>
      </c>
    </row>
    <row r="82" spans="1:5" x14ac:dyDescent="0.35">
      <c r="A82" s="50">
        <v>43110</v>
      </c>
      <c r="B82" s="8" t="s">
        <v>59</v>
      </c>
      <c r="C82" s="8">
        <v>17</v>
      </c>
      <c r="D82" s="15">
        <v>58000</v>
      </c>
      <c r="E82" s="15">
        <f t="shared" si="1"/>
        <v>986000</v>
      </c>
    </row>
    <row r="83" spans="1:5" x14ac:dyDescent="0.35">
      <c r="A83" s="50">
        <v>43110</v>
      </c>
      <c r="B83" s="8" t="s">
        <v>58</v>
      </c>
      <c r="C83" s="8">
        <v>6</v>
      </c>
      <c r="D83" s="15">
        <v>50000</v>
      </c>
      <c r="E83" s="15">
        <f t="shared" si="1"/>
        <v>300000</v>
      </c>
    </row>
    <row r="84" spans="1:5" x14ac:dyDescent="0.35">
      <c r="A84" s="50">
        <v>43110</v>
      </c>
      <c r="B84" s="8" t="s">
        <v>57</v>
      </c>
      <c r="C84" s="8">
        <v>1</v>
      </c>
      <c r="D84" s="15">
        <v>38000</v>
      </c>
      <c r="E84" s="15">
        <f t="shared" si="1"/>
        <v>38000</v>
      </c>
    </row>
    <row r="85" spans="1:5" x14ac:dyDescent="0.35">
      <c r="A85" s="50">
        <v>43110</v>
      </c>
      <c r="B85" s="8" t="s">
        <v>56</v>
      </c>
      <c r="C85" s="8">
        <v>33</v>
      </c>
      <c r="D85" s="15">
        <v>8500</v>
      </c>
      <c r="E85" s="15">
        <f t="shared" si="1"/>
        <v>280500</v>
      </c>
    </row>
    <row r="86" spans="1:5" x14ac:dyDescent="0.35">
      <c r="A86" s="50">
        <v>43110</v>
      </c>
      <c r="B86" s="8" t="s">
        <v>55</v>
      </c>
      <c r="C86" s="8">
        <v>3</v>
      </c>
      <c r="D86" s="15">
        <v>57000</v>
      </c>
      <c r="E86" s="15">
        <f t="shared" si="1"/>
        <v>171000</v>
      </c>
    </row>
    <row r="87" spans="1:5" x14ac:dyDescent="0.35">
      <c r="A87" s="50">
        <v>43110</v>
      </c>
      <c r="B87" s="8" t="s">
        <v>54</v>
      </c>
      <c r="C87" s="8">
        <v>1</v>
      </c>
      <c r="D87" s="15">
        <v>57000</v>
      </c>
      <c r="E87" s="15">
        <f t="shared" si="1"/>
        <v>57000</v>
      </c>
    </row>
    <row r="88" spans="1:5" x14ac:dyDescent="0.35">
      <c r="A88" s="50">
        <v>43110</v>
      </c>
      <c r="B88" s="8" t="s">
        <v>53</v>
      </c>
      <c r="C88" s="8">
        <v>7</v>
      </c>
      <c r="D88" s="15">
        <v>8500</v>
      </c>
      <c r="E88" s="15">
        <f t="shared" si="1"/>
        <v>59500</v>
      </c>
    </row>
    <row r="89" spans="1:5" x14ac:dyDescent="0.35">
      <c r="A89" s="50">
        <v>43111</v>
      </c>
      <c r="E89" s="15">
        <f t="shared" si="1"/>
        <v>0</v>
      </c>
    </row>
    <row r="90" spans="1:5" x14ac:dyDescent="0.35">
      <c r="A90" s="50">
        <v>43111</v>
      </c>
      <c r="B90" s="8" t="s">
        <v>8</v>
      </c>
      <c r="C90" s="8">
        <v>1</v>
      </c>
      <c r="D90" s="15">
        <v>54000</v>
      </c>
      <c r="E90" s="15">
        <f t="shared" si="1"/>
        <v>54000</v>
      </c>
    </row>
    <row r="91" spans="1:5" x14ac:dyDescent="0.35">
      <c r="A91" s="50">
        <v>43111</v>
      </c>
      <c r="B91" s="8" t="s">
        <v>60</v>
      </c>
      <c r="C91" s="8">
        <v>1</v>
      </c>
      <c r="D91" s="15">
        <v>54000</v>
      </c>
      <c r="E91" s="15">
        <f t="shared" si="1"/>
        <v>54000</v>
      </c>
    </row>
    <row r="92" spans="1:5" x14ac:dyDescent="0.35">
      <c r="A92" s="50">
        <v>43111</v>
      </c>
      <c r="B92" s="8" t="s">
        <v>62</v>
      </c>
      <c r="C92" s="8">
        <v>4</v>
      </c>
      <c r="D92" s="15">
        <v>58000</v>
      </c>
      <c r="E92" s="15">
        <f t="shared" si="1"/>
        <v>232000</v>
      </c>
    </row>
    <row r="93" spans="1:5" x14ac:dyDescent="0.35">
      <c r="A93" s="50">
        <v>43111</v>
      </c>
      <c r="B93" s="8" t="s">
        <v>63</v>
      </c>
      <c r="C93" s="8">
        <v>30</v>
      </c>
      <c r="D93" s="15">
        <v>2000</v>
      </c>
      <c r="E93" s="15">
        <f t="shared" si="1"/>
        <v>60000</v>
      </c>
    </row>
    <row r="94" spans="1:5" x14ac:dyDescent="0.35">
      <c r="A94" s="50">
        <v>43111</v>
      </c>
      <c r="B94" s="8" t="s">
        <v>20</v>
      </c>
      <c r="C94" s="8">
        <v>2</v>
      </c>
      <c r="D94" s="15">
        <v>2000</v>
      </c>
      <c r="E94" s="15">
        <f t="shared" si="1"/>
        <v>4000</v>
      </c>
    </row>
    <row r="95" spans="1:5" x14ac:dyDescent="0.35">
      <c r="A95" s="50">
        <v>43111</v>
      </c>
      <c r="B95" s="8" t="s">
        <v>31</v>
      </c>
      <c r="C95" s="8">
        <v>3</v>
      </c>
      <c r="D95" s="15">
        <v>45000</v>
      </c>
      <c r="E95" s="15">
        <f t="shared" si="1"/>
        <v>135000</v>
      </c>
    </row>
    <row r="96" spans="1:5" x14ac:dyDescent="0.35">
      <c r="A96" s="50">
        <v>43111</v>
      </c>
      <c r="B96" s="8" t="s">
        <v>30</v>
      </c>
      <c r="C96" s="8">
        <v>2</v>
      </c>
      <c r="D96" s="15">
        <v>47500</v>
      </c>
      <c r="E96" s="15">
        <f t="shared" si="1"/>
        <v>95000</v>
      </c>
    </row>
    <row r="97" spans="1:5" x14ac:dyDescent="0.35">
      <c r="A97" s="50">
        <v>43112</v>
      </c>
      <c r="E97" s="15">
        <f t="shared" si="1"/>
        <v>0</v>
      </c>
    </row>
    <row r="98" spans="1:5" x14ac:dyDescent="0.35">
      <c r="A98" s="50">
        <v>43112</v>
      </c>
      <c r="B98" s="8" t="s">
        <v>64</v>
      </c>
      <c r="C98" s="8">
        <v>8</v>
      </c>
      <c r="D98" s="15">
        <v>58000</v>
      </c>
      <c r="E98" s="15">
        <f t="shared" si="1"/>
        <v>464000</v>
      </c>
    </row>
    <row r="99" spans="1:5" x14ac:dyDescent="0.35">
      <c r="A99" s="50">
        <v>43112</v>
      </c>
      <c r="B99" s="8" t="s">
        <v>65</v>
      </c>
      <c r="C99" s="8">
        <v>5</v>
      </c>
      <c r="D99" s="15">
        <v>1600</v>
      </c>
      <c r="E99" s="15">
        <f t="shared" si="1"/>
        <v>8000</v>
      </c>
    </row>
    <row r="100" spans="1:5" x14ac:dyDescent="0.35">
      <c r="A100" s="50">
        <v>43112</v>
      </c>
      <c r="B100" s="8" t="s">
        <v>66</v>
      </c>
      <c r="C100" s="8">
        <v>2</v>
      </c>
      <c r="D100" s="15">
        <v>15000</v>
      </c>
      <c r="E100" s="15">
        <f t="shared" si="1"/>
        <v>30000</v>
      </c>
    </row>
    <row r="101" spans="1:5" x14ac:dyDescent="0.35">
      <c r="A101" s="50">
        <v>43112</v>
      </c>
      <c r="B101" s="8" t="s">
        <v>67</v>
      </c>
      <c r="C101" s="8">
        <v>10</v>
      </c>
      <c r="D101" s="15">
        <v>28000</v>
      </c>
      <c r="E101" s="15">
        <f t="shared" si="1"/>
        <v>280000</v>
      </c>
    </row>
    <row r="102" spans="1:5" x14ac:dyDescent="0.35">
      <c r="A102" s="50">
        <v>43112</v>
      </c>
      <c r="B102" s="8" t="s">
        <v>68</v>
      </c>
      <c r="C102" s="8">
        <v>3</v>
      </c>
      <c r="D102" s="15">
        <v>15000</v>
      </c>
      <c r="E102" s="15">
        <f t="shared" si="1"/>
        <v>45000</v>
      </c>
    </row>
    <row r="103" spans="1:5" x14ac:dyDescent="0.35">
      <c r="A103" s="50">
        <v>43112</v>
      </c>
      <c r="B103" s="8" t="s">
        <v>33</v>
      </c>
      <c r="C103" s="8">
        <v>1</v>
      </c>
      <c r="D103" s="15">
        <v>50000</v>
      </c>
      <c r="E103" s="15">
        <f t="shared" si="1"/>
        <v>50000</v>
      </c>
    </row>
    <row r="104" spans="1:5" x14ac:dyDescent="0.35">
      <c r="A104" s="50">
        <v>43112</v>
      </c>
      <c r="B104" s="8" t="s">
        <v>69</v>
      </c>
      <c r="C104" s="8">
        <v>11</v>
      </c>
      <c r="D104" s="15">
        <v>45000</v>
      </c>
      <c r="E104" s="15">
        <f t="shared" si="1"/>
        <v>495000</v>
      </c>
    </row>
    <row r="105" spans="1:5" x14ac:dyDescent="0.35">
      <c r="A105" s="50">
        <v>43112</v>
      </c>
      <c r="B105" s="8" t="s">
        <v>70</v>
      </c>
      <c r="C105" s="8">
        <v>12</v>
      </c>
      <c r="D105" s="15">
        <v>2000</v>
      </c>
      <c r="E105" s="15">
        <f t="shared" si="1"/>
        <v>24000</v>
      </c>
    </row>
    <row r="106" spans="1:5" x14ac:dyDescent="0.35">
      <c r="A106" s="50">
        <v>43112</v>
      </c>
      <c r="B106" s="8" t="s">
        <v>67</v>
      </c>
      <c r="C106" s="8">
        <v>30</v>
      </c>
      <c r="D106" s="15">
        <v>28500</v>
      </c>
      <c r="E106" s="15">
        <f t="shared" si="1"/>
        <v>855000</v>
      </c>
    </row>
    <row r="107" spans="1:5" x14ac:dyDescent="0.35">
      <c r="A107" s="50">
        <v>43112</v>
      </c>
      <c r="B107" s="8" t="s">
        <v>31</v>
      </c>
      <c r="C107" s="8">
        <v>1</v>
      </c>
      <c r="D107" s="15">
        <v>45000</v>
      </c>
      <c r="E107" s="15">
        <f t="shared" si="1"/>
        <v>45000</v>
      </c>
    </row>
    <row r="108" spans="1:5" x14ac:dyDescent="0.35">
      <c r="A108" s="50">
        <v>43112</v>
      </c>
      <c r="B108" s="8" t="s">
        <v>71</v>
      </c>
      <c r="C108" s="8">
        <v>1</v>
      </c>
      <c r="D108" s="15">
        <v>45000</v>
      </c>
      <c r="E108" s="15">
        <f t="shared" si="1"/>
        <v>45000</v>
      </c>
    </row>
    <row r="109" spans="1:5" x14ac:dyDescent="0.35">
      <c r="A109" s="50">
        <v>43112</v>
      </c>
      <c r="B109" s="8" t="s">
        <v>72</v>
      </c>
      <c r="C109" s="8">
        <v>1</v>
      </c>
      <c r="D109" s="15">
        <v>45000</v>
      </c>
      <c r="E109" s="15">
        <f t="shared" si="1"/>
        <v>45000</v>
      </c>
    </row>
    <row r="110" spans="1:5" x14ac:dyDescent="0.35">
      <c r="A110" s="50">
        <v>43112</v>
      </c>
      <c r="B110" s="8" t="s">
        <v>73</v>
      </c>
      <c r="C110" s="8">
        <v>1</v>
      </c>
      <c r="D110" s="15">
        <v>43000</v>
      </c>
      <c r="E110" s="15">
        <f t="shared" si="1"/>
        <v>43000</v>
      </c>
    </row>
    <row r="111" spans="1:5" x14ac:dyDescent="0.35">
      <c r="A111" s="50">
        <v>43112</v>
      </c>
      <c r="B111" s="8" t="s">
        <v>74</v>
      </c>
      <c r="C111" s="8">
        <v>5</v>
      </c>
      <c r="D111" s="15">
        <v>1600</v>
      </c>
      <c r="E111" s="15">
        <f t="shared" si="1"/>
        <v>8000</v>
      </c>
    </row>
    <row r="112" spans="1:5" x14ac:dyDescent="0.35">
      <c r="A112" s="50">
        <v>43112</v>
      </c>
      <c r="B112" s="8" t="s">
        <v>75</v>
      </c>
      <c r="C112" s="8">
        <v>1</v>
      </c>
      <c r="D112" s="15">
        <v>50000</v>
      </c>
      <c r="E112" s="15">
        <f t="shared" si="1"/>
        <v>50000</v>
      </c>
    </row>
    <row r="113" spans="1:5" x14ac:dyDescent="0.35">
      <c r="A113" s="50">
        <v>43113</v>
      </c>
      <c r="E113" s="15">
        <f t="shared" si="1"/>
        <v>0</v>
      </c>
    </row>
    <row r="114" spans="1:5" x14ac:dyDescent="0.35">
      <c r="A114" s="50">
        <v>43113</v>
      </c>
      <c r="B114" s="8" t="s">
        <v>62</v>
      </c>
      <c r="C114" s="8">
        <v>1</v>
      </c>
      <c r="D114" s="15">
        <v>58000</v>
      </c>
      <c r="E114" s="15">
        <f t="shared" si="1"/>
        <v>58000</v>
      </c>
    </row>
    <row r="115" spans="1:5" x14ac:dyDescent="0.35">
      <c r="A115" s="50">
        <v>43113</v>
      </c>
      <c r="B115" s="8" t="s">
        <v>79</v>
      </c>
      <c r="C115" s="8">
        <v>1</v>
      </c>
      <c r="D115" s="15">
        <v>15000</v>
      </c>
      <c r="E115" s="15">
        <f t="shared" si="1"/>
        <v>15000</v>
      </c>
    </row>
    <row r="116" spans="1:5" x14ac:dyDescent="0.35">
      <c r="A116" s="50">
        <v>43113</v>
      </c>
      <c r="B116" s="8" t="s">
        <v>80</v>
      </c>
      <c r="C116" s="8">
        <v>1</v>
      </c>
      <c r="D116" s="15">
        <v>15000</v>
      </c>
      <c r="E116" s="15">
        <f t="shared" si="1"/>
        <v>15000</v>
      </c>
    </row>
    <row r="117" spans="1:5" x14ac:dyDescent="0.35">
      <c r="A117" s="50">
        <v>43113</v>
      </c>
      <c r="B117" s="8" t="s">
        <v>81</v>
      </c>
      <c r="C117" s="8">
        <v>4</v>
      </c>
      <c r="D117" s="15">
        <v>47000</v>
      </c>
      <c r="E117" s="15">
        <f t="shared" si="1"/>
        <v>188000</v>
      </c>
    </row>
    <row r="118" spans="1:5" x14ac:dyDescent="0.35">
      <c r="A118" s="50">
        <v>43113</v>
      </c>
      <c r="B118" s="8" t="s">
        <v>4</v>
      </c>
      <c r="C118" s="8">
        <v>14</v>
      </c>
      <c r="D118" s="15">
        <v>38000</v>
      </c>
      <c r="E118" s="15">
        <f t="shared" si="1"/>
        <v>532000</v>
      </c>
    </row>
    <row r="119" spans="1:5" x14ac:dyDescent="0.35">
      <c r="A119" s="50">
        <v>43113</v>
      </c>
      <c r="B119" s="8" t="s">
        <v>82</v>
      </c>
      <c r="C119" s="8">
        <v>5</v>
      </c>
      <c r="D119" s="15">
        <v>2000</v>
      </c>
      <c r="E119" s="15">
        <f t="shared" si="1"/>
        <v>10000</v>
      </c>
    </row>
    <row r="120" spans="1:5" x14ac:dyDescent="0.35">
      <c r="A120" s="50">
        <v>43113</v>
      </c>
      <c r="B120" s="8" t="s">
        <v>83</v>
      </c>
      <c r="C120" s="8">
        <v>7</v>
      </c>
      <c r="D120" s="15">
        <v>3500</v>
      </c>
      <c r="E120" s="15">
        <f t="shared" si="1"/>
        <v>24500</v>
      </c>
    </row>
    <row r="121" spans="1:5" x14ac:dyDescent="0.35">
      <c r="A121" s="50">
        <v>43113</v>
      </c>
      <c r="B121" s="8" t="s">
        <v>84</v>
      </c>
      <c r="C121" s="8">
        <v>3</v>
      </c>
      <c r="D121" s="15">
        <v>3500</v>
      </c>
      <c r="E121" s="15">
        <f t="shared" si="1"/>
        <v>10500</v>
      </c>
    </row>
    <row r="122" spans="1:5" x14ac:dyDescent="0.35">
      <c r="A122" s="50">
        <v>43113</v>
      </c>
      <c r="B122" s="8" t="s">
        <v>85</v>
      </c>
      <c r="C122" s="8">
        <v>13</v>
      </c>
      <c r="D122" s="15">
        <v>45000</v>
      </c>
      <c r="E122" s="15">
        <f t="shared" si="1"/>
        <v>585000</v>
      </c>
    </row>
    <row r="123" spans="1:5" x14ac:dyDescent="0.35">
      <c r="A123" s="50">
        <v>43113</v>
      </c>
      <c r="B123" s="8" t="s">
        <v>86</v>
      </c>
      <c r="C123" s="8">
        <v>50</v>
      </c>
      <c r="D123" s="15">
        <v>34000</v>
      </c>
      <c r="E123" s="15">
        <f t="shared" si="1"/>
        <v>1700000</v>
      </c>
    </row>
    <row r="124" spans="1:5" x14ac:dyDescent="0.35">
      <c r="A124" s="50">
        <v>43113</v>
      </c>
      <c r="B124" s="8" t="s">
        <v>87</v>
      </c>
      <c r="C124" s="8">
        <v>7</v>
      </c>
      <c r="D124" s="15">
        <v>1600</v>
      </c>
      <c r="E124" s="15">
        <f t="shared" si="1"/>
        <v>11200</v>
      </c>
    </row>
    <row r="125" spans="1:5" x14ac:dyDescent="0.35">
      <c r="A125" s="50">
        <v>43113</v>
      </c>
      <c r="B125" s="8" t="s">
        <v>4</v>
      </c>
      <c r="C125" s="8">
        <v>13</v>
      </c>
      <c r="D125" s="15">
        <v>34000</v>
      </c>
      <c r="E125" s="15">
        <f t="shared" si="1"/>
        <v>442000</v>
      </c>
    </row>
    <row r="126" spans="1:5" x14ac:dyDescent="0.35">
      <c r="A126" s="50">
        <v>43115</v>
      </c>
      <c r="E126" s="15">
        <f t="shared" si="1"/>
        <v>0</v>
      </c>
    </row>
    <row r="127" spans="1:5" x14ac:dyDescent="0.35">
      <c r="A127" s="50">
        <v>43115</v>
      </c>
      <c r="B127" s="8" t="s">
        <v>88</v>
      </c>
      <c r="C127" s="8">
        <v>21</v>
      </c>
      <c r="D127" s="15">
        <v>56500</v>
      </c>
      <c r="E127" s="15">
        <f t="shared" si="1"/>
        <v>1186500</v>
      </c>
    </row>
    <row r="128" spans="1:5" x14ac:dyDescent="0.35">
      <c r="A128" s="50">
        <v>43115</v>
      </c>
      <c r="B128" s="8" t="s">
        <v>25</v>
      </c>
      <c r="C128" s="8">
        <v>5</v>
      </c>
      <c r="D128" s="15">
        <v>52000</v>
      </c>
      <c r="E128" s="15">
        <f t="shared" si="1"/>
        <v>260000</v>
      </c>
    </row>
    <row r="129" spans="1:5" x14ac:dyDescent="0.35">
      <c r="A129" s="50">
        <v>43115</v>
      </c>
      <c r="B129" s="8" t="s">
        <v>27</v>
      </c>
      <c r="C129" s="8">
        <v>18</v>
      </c>
      <c r="D129" s="15">
        <v>1600</v>
      </c>
      <c r="E129" s="15">
        <f t="shared" si="1"/>
        <v>28800</v>
      </c>
    </row>
    <row r="130" spans="1:5" x14ac:dyDescent="0.35">
      <c r="A130" s="50">
        <v>43115</v>
      </c>
      <c r="B130" s="8" t="s">
        <v>89</v>
      </c>
      <c r="C130" s="8">
        <v>9</v>
      </c>
      <c r="D130" s="15">
        <v>135000</v>
      </c>
      <c r="E130" s="15">
        <f t="shared" si="1"/>
        <v>1215000</v>
      </c>
    </row>
    <row r="131" spans="1:5" x14ac:dyDescent="0.35">
      <c r="A131" s="50">
        <v>43115</v>
      </c>
      <c r="B131" s="8" t="s">
        <v>90</v>
      </c>
      <c r="C131" s="8">
        <v>2</v>
      </c>
      <c r="D131" s="15">
        <v>14000</v>
      </c>
      <c r="E131" s="15">
        <f t="shared" si="1"/>
        <v>28000</v>
      </c>
    </row>
    <row r="132" spans="1:5" x14ac:dyDescent="0.35">
      <c r="A132" s="50">
        <v>43115</v>
      </c>
      <c r="B132" s="8" t="s">
        <v>97</v>
      </c>
      <c r="C132" s="8">
        <v>3</v>
      </c>
      <c r="D132" s="15">
        <v>48000</v>
      </c>
      <c r="E132" s="15">
        <f t="shared" ref="E132:E195" si="2">D132*C132</f>
        <v>144000</v>
      </c>
    </row>
    <row r="133" spans="1:5" x14ac:dyDescent="0.35">
      <c r="A133" s="50">
        <v>43115</v>
      </c>
      <c r="B133" s="8" t="s">
        <v>98</v>
      </c>
      <c r="C133" s="8">
        <v>1</v>
      </c>
      <c r="D133" s="15">
        <v>48000</v>
      </c>
      <c r="E133" s="15">
        <f t="shared" si="2"/>
        <v>48000</v>
      </c>
    </row>
    <row r="134" spans="1:5" x14ac:dyDescent="0.35">
      <c r="A134" s="50">
        <v>43115</v>
      </c>
      <c r="B134" s="8" t="s">
        <v>99</v>
      </c>
      <c r="C134" s="8">
        <v>3</v>
      </c>
      <c r="D134" s="15">
        <v>48500</v>
      </c>
      <c r="E134" s="15">
        <f t="shared" si="2"/>
        <v>145500</v>
      </c>
    </row>
    <row r="135" spans="1:5" x14ac:dyDescent="0.35">
      <c r="A135" s="50">
        <v>43115</v>
      </c>
      <c r="B135" s="8" t="s">
        <v>5</v>
      </c>
      <c r="C135" s="8">
        <v>1</v>
      </c>
      <c r="D135" s="15">
        <v>15000</v>
      </c>
      <c r="E135" s="15">
        <f t="shared" si="2"/>
        <v>15000</v>
      </c>
    </row>
    <row r="136" spans="1:5" x14ac:dyDescent="0.35">
      <c r="A136" s="50">
        <v>43115</v>
      </c>
      <c r="B136" s="8" t="s">
        <v>96</v>
      </c>
      <c r="C136" s="8">
        <v>15</v>
      </c>
      <c r="D136" s="15">
        <v>48000</v>
      </c>
      <c r="E136" s="15">
        <f t="shared" si="2"/>
        <v>720000</v>
      </c>
    </row>
    <row r="137" spans="1:5" x14ac:dyDescent="0.35">
      <c r="A137" s="50">
        <v>43115</v>
      </c>
      <c r="B137" s="8" t="s">
        <v>34</v>
      </c>
      <c r="C137" s="8">
        <v>10</v>
      </c>
      <c r="D137" s="15">
        <v>46000</v>
      </c>
      <c r="E137" s="15">
        <f t="shared" si="2"/>
        <v>460000</v>
      </c>
    </row>
    <row r="138" spans="1:5" x14ac:dyDescent="0.35">
      <c r="A138" s="50">
        <v>43115</v>
      </c>
      <c r="B138" s="8" t="s">
        <v>94</v>
      </c>
      <c r="C138" s="8">
        <v>3</v>
      </c>
      <c r="D138" s="15">
        <v>50000</v>
      </c>
      <c r="E138" s="15">
        <f t="shared" si="2"/>
        <v>150000</v>
      </c>
    </row>
    <row r="139" spans="1:5" x14ac:dyDescent="0.35">
      <c r="A139" s="50">
        <v>43115</v>
      </c>
      <c r="B139" s="8" t="s">
        <v>95</v>
      </c>
      <c r="C139" s="8">
        <v>4</v>
      </c>
      <c r="D139" s="15">
        <v>49000</v>
      </c>
      <c r="E139" s="15">
        <f t="shared" si="2"/>
        <v>196000</v>
      </c>
    </row>
    <row r="140" spans="1:5" x14ac:dyDescent="0.35">
      <c r="A140" s="50">
        <v>43115</v>
      </c>
      <c r="B140" s="8" t="s">
        <v>93</v>
      </c>
      <c r="C140" s="8">
        <v>7</v>
      </c>
      <c r="D140" s="15">
        <v>1600</v>
      </c>
      <c r="E140" s="15">
        <f t="shared" si="2"/>
        <v>11200</v>
      </c>
    </row>
    <row r="141" spans="1:5" x14ac:dyDescent="0.35">
      <c r="A141" s="50">
        <v>43115</v>
      </c>
      <c r="B141" s="8" t="s">
        <v>92</v>
      </c>
      <c r="C141" s="8">
        <v>2</v>
      </c>
      <c r="D141" s="15">
        <v>1600</v>
      </c>
      <c r="E141" s="15">
        <f t="shared" si="2"/>
        <v>3200</v>
      </c>
    </row>
    <row r="142" spans="1:5" x14ac:dyDescent="0.35">
      <c r="A142" s="50">
        <v>43115</v>
      </c>
      <c r="B142" s="8" t="s">
        <v>91</v>
      </c>
      <c r="C142" s="8">
        <v>25</v>
      </c>
      <c r="D142" s="15">
        <v>1800</v>
      </c>
      <c r="E142" s="15">
        <f t="shared" si="2"/>
        <v>45000</v>
      </c>
    </row>
    <row r="143" spans="1:5" x14ac:dyDescent="0.35">
      <c r="A143" s="50">
        <v>43117</v>
      </c>
      <c r="E143" s="15">
        <f t="shared" si="2"/>
        <v>0</v>
      </c>
    </row>
    <row r="144" spans="1:5" x14ac:dyDescent="0.35">
      <c r="A144" s="50">
        <v>43117</v>
      </c>
      <c r="B144" s="8" t="s">
        <v>100</v>
      </c>
      <c r="C144" s="8">
        <v>1</v>
      </c>
      <c r="D144" s="15">
        <v>43000</v>
      </c>
      <c r="E144" s="15">
        <f t="shared" si="2"/>
        <v>43000</v>
      </c>
    </row>
    <row r="145" spans="1:5" x14ac:dyDescent="0.35">
      <c r="A145" s="50">
        <v>43117</v>
      </c>
      <c r="B145" s="8" t="s">
        <v>27</v>
      </c>
      <c r="C145" s="8">
        <v>10</v>
      </c>
      <c r="D145" s="15">
        <v>1600</v>
      </c>
      <c r="E145" s="15">
        <f t="shared" si="2"/>
        <v>16000</v>
      </c>
    </row>
    <row r="146" spans="1:5" x14ac:dyDescent="0.35">
      <c r="A146" s="50">
        <v>43117</v>
      </c>
      <c r="B146" s="8" t="s">
        <v>101</v>
      </c>
      <c r="C146" s="8">
        <v>2</v>
      </c>
      <c r="D146" s="15">
        <v>50000</v>
      </c>
      <c r="E146" s="15">
        <f t="shared" si="2"/>
        <v>100000</v>
      </c>
    </row>
    <row r="147" spans="1:5" x14ac:dyDescent="0.35">
      <c r="A147" s="50">
        <v>43117</v>
      </c>
      <c r="B147" s="8" t="s">
        <v>34</v>
      </c>
      <c r="C147" s="8">
        <v>6</v>
      </c>
      <c r="D147" s="15">
        <v>46000</v>
      </c>
      <c r="E147" s="15">
        <f t="shared" si="2"/>
        <v>276000</v>
      </c>
    </row>
    <row r="148" spans="1:5" x14ac:dyDescent="0.35">
      <c r="A148" s="50">
        <v>43117</v>
      </c>
      <c r="B148" s="8" t="s">
        <v>69</v>
      </c>
      <c r="C148" s="8">
        <v>4</v>
      </c>
      <c r="D148" s="15">
        <v>45000</v>
      </c>
      <c r="E148" s="15">
        <f t="shared" si="2"/>
        <v>180000</v>
      </c>
    </row>
    <row r="149" spans="1:5" x14ac:dyDescent="0.35">
      <c r="A149" s="50">
        <v>43117</v>
      </c>
      <c r="B149" s="8" t="s">
        <v>102</v>
      </c>
      <c r="C149" s="8">
        <v>2</v>
      </c>
      <c r="D149" s="15">
        <v>15000</v>
      </c>
      <c r="E149" s="15">
        <f t="shared" si="2"/>
        <v>30000</v>
      </c>
    </row>
    <row r="150" spans="1:5" x14ac:dyDescent="0.35">
      <c r="A150" s="50">
        <v>43117</v>
      </c>
      <c r="B150" s="8" t="s">
        <v>103</v>
      </c>
      <c r="C150" s="8">
        <v>4</v>
      </c>
      <c r="D150" s="15">
        <v>1600</v>
      </c>
      <c r="E150" s="15">
        <f t="shared" si="2"/>
        <v>6400</v>
      </c>
    </row>
    <row r="151" spans="1:5" x14ac:dyDescent="0.35">
      <c r="A151" s="50">
        <v>43117</v>
      </c>
      <c r="B151" s="8" t="s">
        <v>5</v>
      </c>
      <c r="C151" s="8">
        <v>1</v>
      </c>
      <c r="D151" s="15">
        <v>14000</v>
      </c>
      <c r="E151" s="15">
        <f t="shared" si="2"/>
        <v>14000</v>
      </c>
    </row>
    <row r="152" spans="1:5" x14ac:dyDescent="0.35">
      <c r="A152" s="50">
        <v>43117</v>
      </c>
      <c r="B152" s="8" t="s">
        <v>104</v>
      </c>
      <c r="C152" s="8">
        <v>3</v>
      </c>
      <c r="D152" s="15">
        <v>47000</v>
      </c>
      <c r="E152" s="15">
        <f t="shared" si="2"/>
        <v>141000</v>
      </c>
    </row>
    <row r="153" spans="1:5" x14ac:dyDescent="0.35">
      <c r="A153" s="50">
        <v>43117</v>
      </c>
      <c r="B153" s="8" t="s">
        <v>105</v>
      </c>
      <c r="C153" s="8">
        <v>1</v>
      </c>
      <c r="D153" s="15">
        <v>10000</v>
      </c>
      <c r="E153" s="15">
        <f t="shared" si="2"/>
        <v>10000</v>
      </c>
    </row>
    <row r="154" spans="1:5" x14ac:dyDescent="0.35">
      <c r="A154" s="50">
        <v>43117</v>
      </c>
      <c r="B154" s="8" t="s">
        <v>92</v>
      </c>
      <c r="C154" s="8">
        <v>38</v>
      </c>
      <c r="D154" s="15">
        <v>1600</v>
      </c>
      <c r="E154" s="15">
        <f t="shared" si="2"/>
        <v>60800</v>
      </c>
    </row>
    <row r="155" spans="1:5" x14ac:dyDescent="0.35">
      <c r="A155" s="50">
        <v>43117</v>
      </c>
      <c r="B155" s="8" t="s">
        <v>24</v>
      </c>
      <c r="C155" s="8">
        <v>2</v>
      </c>
      <c r="D155" s="15">
        <v>58000</v>
      </c>
      <c r="E155" s="15">
        <f t="shared" si="2"/>
        <v>116000</v>
      </c>
    </row>
    <row r="156" spans="1:5" x14ac:dyDescent="0.35">
      <c r="A156" s="50">
        <v>43117</v>
      </c>
      <c r="B156" s="8" t="s">
        <v>106</v>
      </c>
      <c r="C156" s="8">
        <v>17</v>
      </c>
      <c r="D156" s="15">
        <v>1600</v>
      </c>
      <c r="E156" s="15">
        <f t="shared" si="2"/>
        <v>27200</v>
      </c>
    </row>
    <row r="157" spans="1:5" x14ac:dyDescent="0.35">
      <c r="A157" s="50">
        <v>43117</v>
      </c>
      <c r="B157" s="8" t="s">
        <v>107</v>
      </c>
      <c r="C157" s="8">
        <v>40</v>
      </c>
      <c r="D157" s="15">
        <v>1600</v>
      </c>
      <c r="E157" s="15">
        <f t="shared" si="2"/>
        <v>64000</v>
      </c>
    </row>
    <row r="158" spans="1:5" x14ac:dyDescent="0.35">
      <c r="A158" s="50">
        <v>43118</v>
      </c>
      <c r="E158" s="15">
        <f t="shared" si="2"/>
        <v>0</v>
      </c>
    </row>
    <row r="159" spans="1:5" x14ac:dyDescent="0.35">
      <c r="A159" s="50">
        <v>43118</v>
      </c>
      <c r="B159" s="8" t="s">
        <v>109</v>
      </c>
      <c r="C159" s="8">
        <v>1</v>
      </c>
      <c r="D159" s="15">
        <v>38000</v>
      </c>
      <c r="E159" s="15">
        <f t="shared" si="2"/>
        <v>38000</v>
      </c>
    </row>
    <row r="160" spans="1:5" x14ac:dyDescent="0.35">
      <c r="A160" s="50">
        <v>43118</v>
      </c>
      <c r="B160" s="8" t="s">
        <v>110</v>
      </c>
      <c r="C160" s="8">
        <v>3</v>
      </c>
      <c r="D160" s="15">
        <v>49000</v>
      </c>
      <c r="E160" s="15">
        <f t="shared" si="2"/>
        <v>147000</v>
      </c>
    </row>
    <row r="161" spans="1:5" x14ac:dyDescent="0.35">
      <c r="A161" s="50">
        <v>43118</v>
      </c>
      <c r="B161" s="8" t="s">
        <v>111</v>
      </c>
      <c r="C161" s="8">
        <v>10</v>
      </c>
      <c r="D161" s="15">
        <v>48000</v>
      </c>
      <c r="E161" s="15">
        <f t="shared" si="2"/>
        <v>480000</v>
      </c>
    </row>
    <row r="162" spans="1:5" x14ac:dyDescent="0.35">
      <c r="A162" s="50">
        <v>43118</v>
      </c>
      <c r="B162" s="8" t="s">
        <v>109</v>
      </c>
      <c r="C162" s="8">
        <v>45</v>
      </c>
      <c r="D162" s="15">
        <v>36500</v>
      </c>
      <c r="E162" s="15">
        <f t="shared" si="2"/>
        <v>1642500</v>
      </c>
    </row>
    <row r="163" spans="1:5" x14ac:dyDescent="0.35">
      <c r="A163" s="50">
        <v>43118</v>
      </c>
      <c r="B163" s="8" t="s">
        <v>112</v>
      </c>
      <c r="C163" s="8">
        <v>3</v>
      </c>
      <c r="D163" s="15">
        <v>43500</v>
      </c>
      <c r="E163" s="15">
        <f t="shared" si="2"/>
        <v>130500</v>
      </c>
    </row>
    <row r="164" spans="1:5" x14ac:dyDescent="0.35">
      <c r="A164" s="50">
        <v>43118</v>
      </c>
      <c r="B164" s="8" t="s">
        <v>113</v>
      </c>
      <c r="C164" s="8">
        <v>1</v>
      </c>
      <c r="D164" s="15">
        <v>14000</v>
      </c>
      <c r="E164" s="15">
        <f t="shared" si="2"/>
        <v>14000</v>
      </c>
    </row>
    <row r="165" spans="1:5" x14ac:dyDescent="0.35">
      <c r="A165" s="50">
        <v>43119</v>
      </c>
      <c r="E165" s="15">
        <f t="shared" si="2"/>
        <v>0</v>
      </c>
    </row>
    <row r="166" spans="1:5" x14ac:dyDescent="0.35">
      <c r="A166" s="50">
        <v>43119</v>
      </c>
      <c r="B166" s="8" t="s">
        <v>114</v>
      </c>
      <c r="C166" s="8">
        <v>1</v>
      </c>
      <c r="D166" s="15">
        <v>15000</v>
      </c>
      <c r="E166" s="15">
        <f t="shared" si="2"/>
        <v>15000</v>
      </c>
    </row>
    <row r="167" spans="1:5" x14ac:dyDescent="0.35">
      <c r="A167" s="50">
        <v>43119</v>
      </c>
      <c r="B167" s="8" t="s">
        <v>112</v>
      </c>
      <c r="C167" s="8">
        <v>24</v>
      </c>
      <c r="D167" s="15">
        <v>42000</v>
      </c>
      <c r="E167" s="15">
        <f t="shared" si="2"/>
        <v>1008000</v>
      </c>
    </row>
    <row r="168" spans="1:5" x14ac:dyDescent="0.35">
      <c r="A168" s="50">
        <v>43119</v>
      </c>
      <c r="B168" s="8" t="s">
        <v>115</v>
      </c>
      <c r="C168" s="8">
        <v>2</v>
      </c>
      <c r="D168" s="15">
        <v>55000</v>
      </c>
      <c r="E168" s="15">
        <f t="shared" si="2"/>
        <v>110000</v>
      </c>
    </row>
    <row r="169" spans="1:5" x14ac:dyDescent="0.35">
      <c r="A169" s="50">
        <v>43119</v>
      </c>
      <c r="B169" s="8" t="s">
        <v>116</v>
      </c>
      <c r="C169" s="8">
        <v>2</v>
      </c>
      <c r="D169" s="15">
        <v>52000</v>
      </c>
      <c r="E169" s="15">
        <f t="shared" si="2"/>
        <v>104000</v>
      </c>
    </row>
    <row r="170" spans="1:5" x14ac:dyDescent="0.35">
      <c r="A170" s="50">
        <v>43119</v>
      </c>
      <c r="B170" s="8" t="s">
        <v>117</v>
      </c>
      <c r="C170" s="8">
        <v>1</v>
      </c>
      <c r="D170" s="15">
        <v>26000</v>
      </c>
      <c r="E170" s="15">
        <f t="shared" si="2"/>
        <v>26000</v>
      </c>
    </row>
    <row r="171" spans="1:5" x14ac:dyDescent="0.35">
      <c r="A171" s="50">
        <v>43119</v>
      </c>
      <c r="B171" s="8" t="s">
        <v>118</v>
      </c>
      <c r="C171" s="8">
        <v>16</v>
      </c>
      <c r="D171" s="15">
        <v>42000</v>
      </c>
      <c r="E171" s="15">
        <f t="shared" si="2"/>
        <v>672000</v>
      </c>
    </row>
    <row r="172" spans="1:5" x14ac:dyDescent="0.35">
      <c r="A172" s="50">
        <v>43119</v>
      </c>
      <c r="B172" s="8" t="s">
        <v>24</v>
      </c>
      <c r="C172" s="8">
        <v>2</v>
      </c>
      <c r="D172" s="15">
        <v>58000</v>
      </c>
      <c r="E172" s="15">
        <f t="shared" si="2"/>
        <v>116000</v>
      </c>
    </row>
    <row r="173" spans="1:5" x14ac:dyDescent="0.35">
      <c r="A173" s="50">
        <v>43119</v>
      </c>
      <c r="B173" s="8" t="s">
        <v>8</v>
      </c>
      <c r="C173" s="8">
        <v>3</v>
      </c>
      <c r="D173" s="15">
        <v>55000</v>
      </c>
      <c r="E173" s="15">
        <f t="shared" si="2"/>
        <v>165000</v>
      </c>
    </row>
    <row r="174" spans="1:5" x14ac:dyDescent="0.35">
      <c r="A174" s="50">
        <v>43119</v>
      </c>
      <c r="B174" s="8" t="s">
        <v>27</v>
      </c>
      <c r="C174" s="8">
        <v>10</v>
      </c>
      <c r="D174" s="15">
        <v>1600</v>
      </c>
      <c r="E174" s="15">
        <f t="shared" si="2"/>
        <v>16000</v>
      </c>
    </row>
    <row r="175" spans="1:5" x14ac:dyDescent="0.35">
      <c r="A175" s="50">
        <v>43119</v>
      </c>
      <c r="B175" s="8" t="s">
        <v>119</v>
      </c>
      <c r="C175" s="8">
        <v>20</v>
      </c>
      <c r="D175" s="15">
        <v>12000</v>
      </c>
      <c r="E175" s="15">
        <f t="shared" si="2"/>
        <v>240000</v>
      </c>
    </row>
    <row r="176" spans="1:5" x14ac:dyDescent="0.35">
      <c r="A176" s="50">
        <v>43119</v>
      </c>
      <c r="B176" s="8" t="s">
        <v>120</v>
      </c>
      <c r="C176" s="8">
        <v>1</v>
      </c>
      <c r="D176" s="15">
        <v>45000</v>
      </c>
      <c r="E176" s="15">
        <f t="shared" si="2"/>
        <v>45000</v>
      </c>
    </row>
    <row r="177" spans="1:5" x14ac:dyDescent="0.35">
      <c r="A177" s="50">
        <v>43119</v>
      </c>
      <c r="B177" s="8" t="s">
        <v>67</v>
      </c>
      <c r="C177" s="8">
        <v>1</v>
      </c>
      <c r="D177" s="15">
        <v>28000</v>
      </c>
      <c r="E177" s="15">
        <f t="shared" si="2"/>
        <v>28000</v>
      </c>
    </row>
    <row r="178" spans="1:5" x14ac:dyDescent="0.35">
      <c r="A178" s="50">
        <v>43120</v>
      </c>
      <c r="E178" s="15">
        <f t="shared" si="2"/>
        <v>0</v>
      </c>
    </row>
    <row r="179" spans="1:5" x14ac:dyDescent="0.35">
      <c r="A179" s="50">
        <v>43120</v>
      </c>
      <c r="B179" s="8" t="s">
        <v>35</v>
      </c>
      <c r="C179" s="8">
        <v>1</v>
      </c>
      <c r="D179" s="15">
        <v>37000</v>
      </c>
      <c r="E179" s="15">
        <f t="shared" si="2"/>
        <v>37000</v>
      </c>
    </row>
    <row r="180" spans="1:5" x14ac:dyDescent="0.35">
      <c r="A180" s="50">
        <v>43120</v>
      </c>
      <c r="B180" s="8" t="s">
        <v>24</v>
      </c>
      <c r="C180" s="8">
        <v>1</v>
      </c>
      <c r="D180" s="15">
        <v>58000</v>
      </c>
      <c r="E180" s="15">
        <f t="shared" si="2"/>
        <v>58000</v>
      </c>
    </row>
    <row r="181" spans="1:5" x14ac:dyDescent="0.35">
      <c r="A181" s="50">
        <v>43120</v>
      </c>
      <c r="B181" s="8" t="s">
        <v>122</v>
      </c>
      <c r="C181" s="8">
        <v>4</v>
      </c>
      <c r="D181" s="15">
        <v>1800</v>
      </c>
      <c r="E181" s="15">
        <f t="shared" si="2"/>
        <v>7200</v>
      </c>
    </row>
    <row r="182" spans="1:5" x14ac:dyDescent="0.35">
      <c r="A182" s="50">
        <v>43120</v>
      </c>
      <c r="B182" s="8" t="s">
        <v>24</v>
      </c>
      <c r="C182" s="8">
        <v>1</v>
      </c>
      <c r="D182" s="15">
        <v>58000</v>
      </c>
      <c r="E182" s="15">
        <f t="shared" si="2"/>
        <v>58000</v>
      </c>
    </row>
    <row r="183" spans="1:5" x14ac:dyDescent="0.35">
      <c r="A183" s="50">
        <v>43120</v>
      </c>
      <c r="B183" s="8" t="s">
        <v>123</v>
      </c>
      <c r="C183" s="8">
        <v>8</v>
      </c>
      <c r="D183" s="15">
        <v>54000</v>
      </c>
      <c r="E183" s="15">
        <f t="shared" si="2"/>
        <v>432000</v>
      </c>
    </row>
    <row r="184" spans="1:5" x14ac:dyDescent="0.35">
      <c r="A184" s="50">
        <v>43120</v>
      </c>
      <c r="B184" s="8" t="s">
        <v>116</v>
      </c>
      <c r="C184" s="8">
        <v>4</v>
      </c>
      <c r="D184" s="15">
        <v>52000</v>
      </c>
      <c r="E184" s="15">
        <f t="shared" si="2"/>
        <v>208000</v>
      </c>
    </row>
    <row r="185" spans="1:5" x14ac:dyDescent="0.35">
      <c r="A185" s="50">
        <v>43120</v>
      </c>
      <c r="B185" s="8" t="s">
        <v>124</v>
      </c>
      <c r="C185" s="8">
        <v>10</v>
      </c>
      <c r="D185" s="15">
        <v>46500</v>
      </c>
      <c r="E185" s="15">
        <f t="shared" si="2"/>
        <v>465000</v>
      </c>
    </row>
    <row r="186" spans="1:5" x14ac:dyDescent="0.35">
      <c r="A186" s="50">
        <v>43120</v>
      </c>
      <c r="B186" s="8" t="s">
        <v>112</v>
      </c>
      <c r="C186" s="8">
        <v>90</v>
      </c>
      <c r="D186" s="15">
        <v>41500</v>
      </c>
      <c r="E186" s="15">
        <f t="shared" si="2"/>
        <v>3735000</v>
      </c>
    </row>
    <row r="187" spans="1:5" x14ac:dyDescent="0.35">
      <c r="A187" s="50">
        <v>43122</v>
      </c>
      <c r="E187" s="15">
        <f t="shared" si="2"/>
        <v>0</v>
      </c>
    </row>
    <row r="188" spans="1:5" x14ac:dyDescent="0.35">
      <c r="A188" s="50">
        <v>43122</v>
      </c>
      <c r="B188" s="8" t="s">
        <v>125</v>
      </c>
      <c r="C188" s="8">
        <v>1</v>
      </c>
      <c r="D188" s="15">
        <v>38000</v>
      </c>
      <c r="E188" s="15">
        <f t="shared" si="2"/>
        <v>38000</v>
      </c>
    </row>
    <row r="189" spans="1:5" x14ac:dyDescent="0.35">
      <c r="A189" s="50">
        <v>43122</v>
      </c>
      <c r="B189" s="8" t="s">
        <v>109</v>
      </c>
      <c r="C189" s="8">
        <v>2</v>
      </c>
      <c r="D189" s="15">
        <v>38000</v>
      </c>
      <c r="E189" s="15">
        <f t="shared" si="2"/>
        <v>76000</v>
      </c>
    </row>
    <row r="190" spans="1:5" x14ac:dyDescent="0.35">
      <c r="A190" s="50">
        <v>43122</v>
      </c>
      <c r="B190" s="8" t="s">
        <v>126</v>
      </c>
      <c r="C190" s="8">
        <v>50</v>
      </c>
      <c r="D190" s="15">
        <v>9500</v>
      </c>
      <c r="E190" s="15">
        <f t="shared" si="2"/>
        <v>475000</v>
      </c>
    </row>
    <row r="191" spans="1:5" x14ac:dyDescent="0.35">
      <c r="A191" s="50">
        <v>43122</v>
      </c>
      <c r="B191" s="8" t="s">
        <v>3</v>
      </c>
      <c r="C191" s="8">
        <v>12</v>
      </c>
      <c r="D191" s="15">
        <v>55000</v>
      </c>
      <c r="E191" s="15">
        <f t="shared" si="2"/>
        <v>660000</v>
      </c>
    </row>
    <row r="192" spans="1:5" x14ac:dyDescent="0.35">
      <c r="A192" s="50">
        <v>43122</v>
      </c>
      <c r="B192" s="8" t="s">
        <v>127</v>
      </c>
      <c r="C192" s="8">
        <v>6</v>
      </c>
      <c r="D192" s="15">
        <v>2000</v>
      </c>
      <c r="E192" s="15">
        <f t="shared" si="2"/>
        <v>12000</v>
      </c>
    </row>
    <row r="193" spans="1:5" x14ac:dyDescent="0.35">
      <c r="A193" s="50">
        <v>43122</v>
      </c>
      <c r="B193" s="8" t="s">
        <v>128</v>
      </c>
      <c r="C193" s="8">
        <v>1</v>
      </c>
      <c r="D193" s="15">
        <v>34000</v>
      </c>
      <c r="E193" s="15">
        <f t="shared" si="2"/>
        <v>34000</v>
      </c>
    </row>
    <row r="194" spans="1:5" x14ac:dyDescent="0.35">
      <c r="A194" s="50">
        <v>43122</v>
      </c>
      <c r="B194" s="8" t="s">
        <v>60</v>
      </c>
      <c r="C194" s="8">
        <v>3</v>
      </c>
      <c r="D194" s="15">
        <v>54000</v>
      </c>
      <c r="E194" s="15">
        <f t="shared" si="2"/>
        <v>162000</v>
      </c>
    </row>
    <row r="195" spans="1:5" x14ac:dyDescent="0.35">
      <c r="A195" s="50">
        <v>43122</v>
      </c>
      <c r="B195" s="8" t="s">
        <v>129</v>
      </c>
      <c r="C195" s="8">
        <v>1</v>
      </c>
      <c r="D195" s="15">
        <v>14000</v>
      </c>
      <c r="E195" s="15">
        <f t="shared" si="2"/>
        <v>14000</v>
      </c>
    </row>
    <row r="196" spans="1:5" x14ac:dyDescent="0.35">
      <c r="A196" s="50">
        <v>43122</v>
      </c>
      <c r="B196" s="8" t="s">
        <v>40</v>
      </c>
      <c r="C196" s="8">
        <v>2</v>
      </c>
      <c r="D196" s="15">
        <v>46000</v>
      </c>
      <c r="E196" s="15">
        <f t="shared" ref="E196:E259" si="3">D196*C196</f>
        <v>92000</v>
      </c>
    </row>
    <row r="197" spans="1:5" x14ac:dyDescent="0.35">
      <c r="A197" s="50">
        <v>43122</v>
      </c>
      <c r="B197" s="8" t="s">
        <v>18</v>
      </c>
      <c r="C197" s="8">
        <v>8</v>
      </c>
      <c r="D197" s="15">
        <v>51000</v>
      </c>
      <c r="E197" s="15">
        <f t="shared" si="3"/>
        <v>408000</v>
      </c>
    </row>
    <row r="198" spans="1:5" x14ac:dyDescent="0.35">
      <c r="A198" s="50">
        <v>43123</v>
      </c>
      <c r="E198" s="15">
        <f t="shared" si="3"/>
        <v>0</v>
      </c>
    </row>
    <row r="199" spans="1:5" x14ac:dyDescent="0.35">
      <c r="A199" s="50">
        <v>43123</v>
      </c>
      <c r="B199" s="8" t="s">
        <v>131</v>
      </c>
      <c r="C199" s="8">
        <v>12</v>
      </c>
      <c r="D199" s="15">
        <v>58000</v>
      </c>
      <c r="E199" s="15">
        <f t="shared" si="3"/>
        <v>696000</v>
      </c>
    </row>
    <row r="200" spans="1:5" x14ac:dyDescent="0.35">
      <c r="A200" s="50">
        <v>43123</v>
      </c>
      <c r="B200" s="8" t="s">
        <v>132</v>
      </c>
      <c r="C200" s="8">
        <v>4</v>
      </c>
      <c r="D200" s="15">
        <v>54000</v>
      </c>
      <c r="E200" s="15">
        <f t="shared" si="3"/>
        <v>216000</v>
      </c>
    </row>
    <row r="201" spans="1:5" x14ac:dyDescent="0.35">
      <c r="A201" s="50">
        <v>43123</v>
      </c>
      <c r="B201" s="8" t="s">
        <v>4</v>
      </c>
      <c r="C201" s="8">
        <v>2</v>
      </c>
      <c r="D201" s="15">
        <v>38000</v>
      </c>
      <c r="E201" s="15">
        <f t="shared" si="3"/>
        <v>76000</v>
      </c>
    </row>
    <row r="202" spans="1:5" x14ac:dyDescent="0.35">
      <c r="A202" s="50">
        <v>43123</v>
      </c>
      <c r="B202" s="8" t="s">
        <v>24</v>
      </c>
      <c r="C202" s="8">
        <v>2</v>
      </c>
      <c r="D202" s="15">
        <v>58000</v>
      </c>
      <c r="E202" s="15">
        <f t="shared" si="3"/>
        <v>116000</v>
      </c>
    </row>
    <row r="203" spans="1:5" x14ac:dyDescent="0.35">
      <c r="A203" s="50">
        <v>43123</v>
      </c>
      <c r="B203" s="8" t="s">
        <v>133</v>
      </c>
      <c r="C203" s="8">
        <v>34</v>
      </c>
      <c r="D203" s="15">
        <v>55000</v>
      </c>
      <c r="E203" s="15">
        <f t="shared" si="3"/>
        <v>1870000</v>
      </c>
    </row>
    <row r="204" spans="1:5" x14ac:dyDescent="0.35">
      <c r="A204" s="50">
        <v>43123</v>
      </c>
      <c r="B204" s="8" t="s">
        <v>6</v>
      </c>
      <c r="C204" s="8">
        <v>10</v>
      </c>
      <c r="D204" s="15">
        <v>51000</v>
      </c>
      <c r="E204" s="15">
        <f t="shared" si="3"/>
        <v>510000</v>
      </c>
    </row>
    <row r="205" spans="1:5" x14ac:dyDescent="0.35">
      <c r="A205" s="50">
        <v>43123</v>
      </c>
      <c r="B205" s="8" t="s">
        <v>96</v>
      </c>
      <c r="C205" s="8">
        <v>1</v>
      </c>
      <c r="D205" s="15">
        <v>49000</v>
      </c>
      <c r="E205" s="15">
        <f t="shared" si="3"/>
        <v>49000</v>
      </c>
    </row>
    <row r="206" spans="1:5" x14ac:dyDescent="0.35">
      <c r="A206" s="50">
        <v>43124</v>
      </c>
      <c r="E206" s="15">
        <f t="shared" si="3"/>
        <v>0</v>
      </c>
    </row>
    <row r="207" spans="1:5" x14ac:dyDescent="0.35">
      <c r="A207" s="50">
        <v>43124</v>
      </c>
      <c r="B207" s="8" t="s">
        <v>112</v>
      </c>
      <c r="C207" s="8">
        <v>13</v>
      </c>
      <c r="D207" s="15">
        <v>43500</v>
      </c>
      <c r="E207" s="15">
        <f t="shared" si="3"/>
        <v>565500</v>
      </c>
    </row>
    <row r="208" spans="1:5" x14ac:dyDescent="0.35">
      <c r="A208" s="50">
        <v>43124</v>
      </c>
      <c r="B208" s="8" t="s">
        <v>60</v>
      </c>
      <c r="C208" s="8">
        <v>5</v>
      </c>
      <c r="D208" s="15">
        <v>54000</v>
      </c>
      <c r="E208" s="15">
        <f t="shared" si="3"/>
        <v>270000</v>
      </c>
    </row>
    <row r="209" spans="1:5" x14ac:dyDescent="0.35">
      <c r="A209" s="50">
        <v>43124</v>
      </c>
      <c r="B209" s="8" t="s">
        <v>134</v>
      </c>
      <c r="C209" s="8">
        <v>1</v>
      </c>
      <c r="D209" s="15">
        <v>145000</v>
      </c>
      <c r="E209" s="15">
        <f t="shared" si="3"/>
        <v>145000</v>
      </c>
    </row>
    <row r="210" spans="1:5" x14ac:dyDescent="0.35">
      <c r="A210" s="50">
        <v>43124</v>
      </c>
      <c r="B210" s="8" t="s">
        <v>135</v>
      </c>
      <c r="C210" s="8">
        <v>2</v>
      </c>
      <c r="D210" s="15">
        <v>50000</v>
      </c>
      <c r="E210" s="15">
        <f t="shared" si="3"/>
        <v>100000</v>
      </c>
    </row>
    <row r="211" spans="1:5" x14ac:dyDescent="0.35">
      <c r="A211" s="50">
        <v>43124</v>
      </c>
      <c r="B211" s="8" t="s">
        <v>136</v>
      </c>
      <c r="C211" s="8">
        <v>4</v>
      </c>
      <c r="D211" s="15">
        <v>56000</v>
      </c>
      <c r="E211" s="15">
        <f t="shared" si="3"/>
        <v>224000</v>
      </c>
    </row>
    <row r="212" spans="1:5" x14ac:dyDescent="0.35">
      <c r="A212" s="50">
        <v>43124</v>
      </c>
      <c r="B212" s="8" t="s">
        <v>137</v>
      </c>
      <c r="C212" s="8">
        <v>7</v>
      </c>
      <c r="D212" s="15">
        <v>54000</v>
      </c>
      <c r="E212" s="15">
        <f t="shared" si="3"/>
        <v>378000</v>
      </c>
    </row>
    <row r="213" spans="1:5" x14ac:dyDescent="0.35">
      <c r="A213" s="50">
        <v>43124</v>
      </c>
      <c r="B213" s="8" t="s">
        <v>138</v>
      </c>
      <c r="C213" s="8">
        <v>2</v>
      </c>
      <c r="D213" s="15">
        <v>38000</v>
      </c>
      <c r="E213" s="15">
        <f t="shared" si="3"/>
        <v>76000</v>
      </c>
    </row>
    <row r="214" spans="1:5" x14ac:dyDescent="0.35">
      <c r="A214" s="50">
        <v>43124</v>
      </c>
      <c r="B214" s="8" t="s">
        <v>139</v>
      </c>
      <c r="C214" s="8">
        <v>2</v>
      </c>
      <c r="D214" s="15">
        <v>50000</v>
      </c>
      <c r="E214" s="15">
        <f t="shared" si="3"/>
        <v>100000</v>
      </c>
    </row>
    <row r="215" spans="1:5" x14ac:dyDescent="0.35">
      <c r="A215" s="50">
        <v>43124</v>
      </c>
      <c r="B215" s="8" t="s">
        <v>125</v>
      </c>
      <c r="C215" s="8">
        <v>7</v>
      </c>
      <c r="D215" s="15">
        <v>38000</v>
      </c>
      <c r="E215" s="15">
        <f t="shared" si="3"/>
        <v>266000</v>
      </c>
    </row>
    <row r="216" spans="1:5" x14ac:dyDescent="0.35">
      <c r="A216" s="50">
        <v>43124</v>
      </c>
      <c r="B216" s="8" t="s">
        <v>4</v>
      </c>
      <c r="C216" s="8">
        <v>8</v>
      </c>
      <c r="D216" s="15">
        <v>37000</v>
      </c>
      <c r="E216" s="15">
        <f t="shared" si="3"/>
        <v>296000</v>
      </c>
    </row>
    <row r="217" spans="1:5" x14ac:dyDescent="0.35">
      <c r="A217" s="50">
        <v>43124</v>
      </c>
      <c r="B217" s="8" t="s">
        <v>3</v>
      </c>
      <c r="C217" s="8">
        <v>3</v>
      </c>
      <c r="D217" s="15">
        <v>55000</v>
      </c>
      <c r="E217" s="15">
        <f t="shared" si="3"/>
        <v>165000</v>
      </c>
    </row>
    <row r="218" spans="1:5" x14ac:dyDescent="0.35">
      <c r="A218" s="50">
        <v>43124</v>
      </c>
      <c r="B218" s="8" t="s">
        <v>140</v>
      </c>
      <c r="C218" s="8">
        <v>13</v>
      </c>
      <c r="D218" s="15">
        <v>55000</v>
      </c>
      <c r="E218" s="15">
        <f t="shared" si="3"/>
        <v>715000</v>
      </c>
    </row>
    <row r="219" spans="1:5" x14ac:dyDescent="0.35">
      <c r="A219" s="50">
        <v>43124</v>
      </c>
      <c r="B219" s="8" t="s">
        <v>44</v>
      </c>
      <c r="C219" s="8">
        <v>5</v>
      </c>
      <c r="D219" s="15">
        <v>54000</v>
      </c>
      <c r="E219" s="15">
        <f t="shared" si="3"/>
        <v>270000</v>
      </c>
    </row>
    <row r="220" spans="1:5" x14ac:dyDescent="0.35">
      <c r="A220" s="50">
        <v>43124</v>
      </c>
      <c r="B220" s="8" t="s">
        <v>131</v>
      </c>
      <c r="C220" s="8">
        <v>2</v>
      </c>
      <c r="D220" s="15">
        <v>58000</v>
      </c>
      <c r="E220" s="15">
        <f t="shared" si="3"/>
        <v>116000</v>
      </c>
    </row>
    <row r="221" spans="1:5" x14ac:dyDescent="0.35">
      <c r="A221" s="50">
        <v>43124</v>
      </c>
      <c r="B221" s="8" t="s">
        <v>8</v>
      </c>
      <c r="C221" s="8">
        <v>5</v>
      </c>
      <c r="D221" s="15">
        <v>55000</v>
      </c>
      <c r="E221" s="15">
        <f t="shared" si="3"/>
        <v>275000</v>
      </c>
    </row>
    <row r="222" spans="1:5" x14ac:dyDescent="0.35">
      <c r="A222" s="50">
        <v>43125</v>
      </c>
      <c r="E222" s="15">
        <f t="shared" si="3"/>
        <v>0</v>
      </c>
    </row>
    <row r="223" spans="1:5" x14ac:dyDescent="0.35">
      <c r="A223" s="50">
        <v>43125</v>
      </c>
      <c r="B223" s="8" t="s">
        <v>67</v>
      </c>
      <c r="C223" s="8">
        <v>4</v>
      </c>
      <c r="D223" s="15">
        <v>28000</v>
      </c>
      <c r="E223" s="15">
        <f t="shared" si="3"/>
        <v>112000</v>
      </c>
    </row>
    <row r="224" spans="1:5" x14ac:dyDescent="0.35">
      <c r="A224" s="50">
        <v>43125</v>
      </c>
      <c r="B224" s="8" t="s">
        <v>141</v>
      </c>
      <c r="C224" s="8">
        <v>2</v>
      </c>
      <c r="D224" s="15">
        <v>12000</v>
      </c>
      <c r="E224" s="15">
        <f t="shared" si="3"/>
        <v>24000</v>
      </c>
    </row>
    <row r="225" spans="1:5" x14ac:dyDescent="0.35">
      <c r="A225" s="50">
        <v>43125</v>
      </c>
      <c r="B225" s="8" t="s">
        <v>142</v>
      </c>
      <c r="C225" s="8">
        <v>1</v>
      </c>
      <c r="D225" s="15">
        <v>58000</v>
      </c>
      <c r="E225" s="15">
        <f t="shared" si="3"/>
        <v>58000</v>
      </c>
    </row>
    <row r="226" spans="1:5" x14ac:dyDescent="0.35">
      <c r="A226" s="50">
        <v>43125</v>
      </c>
      <c r="B226" s="8" t="s">
        <v>12</v>
      </c>
      <c r="C226" s="8">
        <v>5</v>
      </c>
      <c r="D226" s="15">
        <v>51500</v>
      </c>
      <c r="E226" s="15">
        <f t="shared" si="3"/>
        <v>257500</v>
      </c>
    </row>
    <row r="227" spans="1:5" x14ac:dyDescent="0.35">
      <c r="A227" s="50">
        <v>43125</v>
      </c>
      <c r="B227" s="8" t="s">
        <v>143</v>
      </c>
      <c r="C227" s="8">
        <v>10</v>
      </c>
      <c r="D227" s="15">
        <v>58000</v>
      </c>
      <c r="E227" s="15">
        <f t="shared" si="3"/>
        <v>580000</v>
      </c>
    </row>
    <row r="228" spans="1:5" x14ac:dyDescent="0.35">
      <c r="A228" s="50">
        <v>43125</v>
      </c>
      <c r="B228" s="8" t="s">
        <v>144</v>
      </c>
      <c r="C228" s="8">
        <v>1</v>
      </c>
      <c r="D228" s="15">
        <v>59000</v>
      </c>
      <c r="E228" s="15">
        <f t="shared" si="3"/>
        <v>59000</v>
      </c>
    </row>
    <row r="229" spans="1:5" x14ac:dyDescent="0.35">
      <c r="A229" s="50">
        <v>43125</v>
      </c>
      <c r="B229" s="8" t="s">
        <v>4</v>
      </c>
      <c r="C229" s="8">
        <v>19</v>
      </c>
      <c r="D229" s="15">
        <v>38000</v>
      </c>
      <c r="E229" s="15">
        <f t="shared" si="3"/>
        <v>722000</v>
      </c>
    </row>
    <row r="230" spans="1:5" x14ac:dyDescent="0.35">
      <c r="A230" s="50">
        <v>43125</v>
      </c>
      <c r="B230" s="8" t="s">
        <v>145</v>
      </c>
      <c r="C230" s="8">
        <v>1</v>
      </c>
      <c r="D230" s="15">
        <v>150000</v>
      </c>
      <c r="E230" s="15">
        <f t="shared" si="3"/>
        <v>150000</v>
      </c>
    </row>
    <row r="231" spans="1:5" x14ac:dyDescent="0.35">
      <c r="A231" s="50">
        <v>43125</v>
      </c>
      <c r="B231" s="8" t="s">
        <v>146</v>
      </c>
      <c r="C231" s="8">
        <v>1</v>
      </c>
      <c r="D231" s="15">
        <v>60000</v>
      </c>
      <c r="E231" s="15">
        <f t="shared" si="3"/>
        <v>60000</v>
      </c>
    </row>
    <row r="232" spans="1:5" x14ac:dyDescent="0.35">
      <c r="A232" s="50">
        <v>43125</v>
      </c>
      <c r="B232" s="8" t="s">
        <v>31</v>
      </c>
      <c r="C232" s="8">
        <v>5</v>
      </c>
      <c r="D232" s="15">
        <v>45000</v>
      </c>
      <c r="E232" s="15">
        <f t="shared" si="3"/>
        <v>225000</v>
      </c>
    </row>
    <row r="233" spans="1:5" x14ac:dyDescent="0.35">
      <c r="A233" s="50">
        <v>43125</v>
      </c>
      <c r="B233" s="8" t="s">
        <v>147</v>
      </c>
      <c r="C233" s="8">
        <v>15</v>
      </c>
      <c r="D233" s="15">
        <v>47000</v>
      </c>
      <c r="E233" s="15">
        <f t="shared" si="3"/>
        <v>705000</v>
      </c>
    </row>
    <row r="234" spans="1:5" x14ac:dyDescent="0.35">
      <c r="A234" s="50">
        <v>43125</v>
      </c>
      <c r="B234" s="8" t="s">
        <v>33</v>
      </c>
      <c r="C234" s="8">
        <v>12</v>
      </c>
      <c r="D234" s="15">
        <v>49000</v>
      </c>
      <c r="E234" s="15">
        <f t="shared" si="3"/>
        <v>588000</v>
      </c>
    </row>
    <row r="235" spans="1:5" x14ac:dyDescent="0.35">
      <c r="A235" s="50">
        <v>43125</v>
      </c>
      <c r="B235" s="8" t="s">
        <v>8</v>
      </c>
      <c r="C235" s="8">
        <v>1</v>
      </c>
      <c r="D235" s="15">
        <v>55000</v>
      </c>
      <c r="E235" s="15">
        <f t="shared" si="3"/>
        <v>55000</v>
      </c>
    </row>
    <row r="236" spans="1:5" x14ac:dyDescent="0.35">
      <c r="A236" s="50">
        <v>43126</v>
      </c>
      <c r="E236" s="15">
        <f t="shared" si="3"/>
        <v>0</v>
      </c>
    </row>
    <row r="237" spans="1:5" x14ac:dyDescent="0.35">
      <c r="A237" s="50">
        <v>43126</v>
      </c>
      <c r="B237" s="8" t="s">
        <v>148</v>
      </c>
      <c r="C237" s="8">
        <v>1</v>
      </c>
      <c r="D237" s="15">
        <v>46000</v>
      </c>
      <c r="E237" s="15">
        <f t="shared" si="3"/>
        <v>46000</v>
      </c>
    </row>
    <row r="238" spans="1:5" x14ac:dyDescent="0.35">
      <c r="A238" s="50">
        <v>43126</v>
      </c>
      <c r="B238" s="8" t="s">
        <v>92</v>
      </c>
      <c r="C238" s="8">
        <v>25</v>
      </c>
      <c r="D238" s="15">
        <v>1600</v>
      </c>
      <c r="E238" s="15">
        <f t="shared" si="3"/>
        <v>40000</v>
      </c>
    </row>
    <row r="239" spans="1:5" x14ac:dyDescent="0.35">
      <c r="A239" s="50">
        <v>43126</v>
      </c>
      <c r="B239" s="8" t="s">
        <v>1</v>
      </c>
      <c r="C239" s="8">
        <v>3</v>
      </c>
      <c r="D239" s="15">
        <v>50000</v>
      </c>
      <c r="E239" s="15">
        <f t="shared" si="3"/>
        <v>150000</v>
      </c>
    </row>
    <row r="240" spans="1:5" x14ac:dyDescent="0.35">
      <c r="A240" s="50">
        <v>43126</v>
      </c>
      <c r="B240" s="8" t="s">
        <v>149</v>
      </c>
      <c r="C240" s="8">
        <v>1</v>
      </c>
      <c r="D240" s="15">
        <v>100000</v>
      </c>
      <c r="E240" s="15">
        <f t="shared" si="3"/>
        <v>100000</v>
      </c>
    </row>
    <row r="241" spans="1:5" x14ac:dyDescent="0.35">
      <c r="A241" s="50">
        <v>43126</v>
      </c>
      <c r="B241" s="8" t="s">
        <v>67</v>
      </c>
      <c r="C241" s="8">
        <v>2</v>
      </c>
      <c r="D241" s="15">
        <v>28000</v>
      </c>
      <c r="E241" s="15">
        <f t="shared" si="3"/>
        <v>56000</v>
      </c>
    </row>
    <row r="242" spans="1:5" x14ac:dyDescent="0.35">
      <c r="A242" s="50">
        <v>43126</v>
      </c>
      <c r="B242" s="8" t="s">
        <v>150</v>
      </c>
      <c r="C242" s="8">
        <v>2</v>
      </c>
      <c r="D242" s="15">
        <v>15000</v>
      </c>
      <c r="E242" s="15">
        <f t="shared" si="3"/>
        <v>30000</v>
      </c>
    </row>
    <row r="243" spans="1:5" x14ac:dyDescent="0.35">
      <c r="A243" s="50">
        <v>43126</v>
      </c>
      <c r="B243" s="8" t="s">
        <v>151</v>
      </c>
      <c r="C243" s="8">
        <v>2</v>
      </c>
      <c r="D243" s="15">
        <v>46500</v>
      </c>
      <c r="E243" s="15">
        <f t="shared" si="3"/>
        <v>93000</v>
      </c>
    </row>
    <row r="244" spans="1:5" x14ac:dyDescent="0.35">
      <c r="A244" s="50">
        <v>43126</v>
      </c>
      <c r="B244" s="8" t="s">
        <v>29</v>
      </c>
      <c r="C244" s="8">
        <v>8</v>
      </c>
      <c r="D244" s="15">
        <v>52000</v>
      </c>
      <c r="E244" s="15">
        <f t="shared" si="3"/>
        <v>416000</v>
      </c>
    </row>
    <row r="245" spans="1:5" x14ac:dyDescent="0.35">
      <c r="A245" s="50">
        <v>43126</v>
      </c>
      <c r="B245" s="8" t="s">
        <v>95</v>
      </c>
      <c r="C245" s="8">
        <v>2</v>
      </c>
      <c r="D245" s="15">
        <v>50000</v>
      </c>
      <c r="E245" s="15">
        <f t="shared" si="3"/>
        <v>100000</v>
      </c>
    </row>
    <row r="246" spans="1:5" x14ac:dyDescent="0.35">
      <c r="A246" s="50">
        <v>43126</v>
      </c>
      <c r="B246" s="8" t="s">
        <v>152</v>
      </c>
      <c r="C246" s="8">
        <v>1</v>
      </c>
      <c r="D246" s="15">
        <v>56000</v>
      </c>
      <c r="E246" s="15">
        <f t="shared" si="3"/>
        <v>56000</v>
      </c>
    </row>
    <row r="247" spans="1:5" x14ac:dyDescent="0.35">
      <c r="A247" s="50">
        <v>43126</v>
      </c>
      <c r="B247" s="8" t="s">
        <v>29</v>
      </c>
      <c r="C247" s="8">
        <v>1</v>
      </c>
      <c r="D247" s="15">
        <v>52000</v>
      </c>
      <c r="E247" s="15">
        <f t="shared" si="3"/>
        <v>52000</v>
      </c>
    </row>
    <row r="248" spans="1:5" x14ac:dyDescent="0.35">
      <c r="A248" s="50">
        <v>43126</v>
      </c>
      <c r="B248" s="8" t="s">
        <v>69</v>
      </c>
      <c r="C248" s="8">
        <v>12</v>
      </c>
      <c r="D248" s="15">
        <v>45000</v>
      </c>
      <c r="E248" s="15">
        <f t="shared" si="3"/>
        <v>540000</v>
      </c>
    </row>
    <row r="249" spans="1:5" x14ac:dyDescent="0.35">
      <c r="A249" s="50">
        <v>43126</v>
      </c>
      <c r="B249" s="8" t="s">
        <v>153</v>
      </c>
      <c r="C249" s="8">
        <v>2</v>
      </c>
      <c r="D249" s="15">
        <v>52000</v>
      </c>
      <c r="E249" s="15">
        <f t="shared" si="3"/>
        <v>104000</v>
      </c>
    </row>
    <row r="250" spans="1:5" x14ac:dyDescent="0.35">
      <c r="A250" s="50">
        <v>43126</v>
      </c>
      <c r="B250" s="8" t="s">
        <v>154</v>
      </c>
      <c r="C250" s="8">
        <v>1</v>
      </c>
      <c r="D250" s="15">
        <v>42000</v>
      </c>
      <c r="E250" s="15">
        <f t="shared" si="3"/>
        <v>42000</v>
      </c>
    </row>
    <row r="251" spans="1:5" x14ac:dyDescent="0.35">
      <c r="A251" s="50">
        <v>43127</v>
      </c>
      <c r="E251" s="15">
        <f t="shared" si="3"/>
        <v>0</v>
      </c>
    </row>
    <row r="252" spans="1:5" x14ac:dyDescent="0.35">
      <c r="A252" s="50">
        <v>43127</v>
      </c>
      <c r="B252" s="8" t="s">
        <v>31</v>
      </c>
      <c r="C252" s="8">
        <v>1</v>
      </c>
      <c r="D252" s="15">
        <v>45000</v>
      </c>
      <c r="E252" s="15">
        <f t="shared" si="3"/>
        <v>45000</v>
      </c>
    </row>
    <row r="253" spans="1:5" x14ac:dyDescent="0.35">
      <c r="A253" s="50">
        <v>43127</v>
      </c>
      <c r="B253" s="8" t="s">
        <v>155</v>
      </c>
      <c r="C253" s="8">
        <v>9</v>
      </c>
      <c r="D253" s="15">
        <v>1600</v>
      </c>
      <c r="E253" s="15">
        <f t="shared" si="3"/>
        <v>14400</v>
      </c>
    </row>
    <row r="254" spans="1:5" x14ac:dyDescent="0.35">
      <c r="A254" s="50">
        <v>43127</v>
      </c>
      <c r="B254" s="8" t="s">
        <v>156</v>
      </c>
      <c r="C254" s="8">
        <v>8</v>
      </c>
      <c r="D254" s="15">
        <v>49000</v>
      </c>
      <c r="E254" s="15">
        <f t="shared" si="3"/>
        <v>392000</v>
      </c>
    </row>
    <row r="255" spans="1:5" x14ac:dyDescent="0.35">
      <c r="A255" s="50">
        <v>43127</v>
      </c>
      <c r="B255" s="8" t="s">
        <v>156</v>
      </c>
      <c r="C255" s="8">
        <v>2</v>
      </c>
      <c r="D255" s="15">
        <v>49000</v>
      </c>
      <c r="E255" s="15">
        <f t="shared" si="3"/>
        <v>98000</v>
      </c>
    </row>
    <row r="256" spans="1:5" x14ac:dyDescent="0.35">
      <c r="A256" s="50">
        <v>43127</v>
      </c>
      <c r="B256" s="8" t="s">
        <v>112</v>
      </c>
      <c r="C256" s="8">
        <v>1</v>
      </c>
      <c r="D256" s="15">
        <v>43500</v>
      </c>
      <c r="E256" s="15">
        <f t="shared" si="3"/>
        <v>43500</v>
      </c>
    </row>
    <row r="257" spans="1:5" x14ac:dyDescent="0.35">
      <c r="A257" s="50">
        <v>43127</v>
      </c>
      <c r="B257" s="8" t="s">
        <v>3</v>
      </c>
      <c r="C257" s="8">
        <v>2</v>
      </c>
      <c r="D257" s="15">
        <v>56000</v>
      </c>
      <c r="E257" s="15">
        <f t="shared" si="3"/>
        <v>112000</v>
      </c>
    </row>
    <row r="258" spans="1:5" x14ac:dyDescent="0.35">
      <c r="A258" s="50">
        <v>43127</v>
      </c>
      <c r="B258" s="8" t="s">
        <v>154</v>
      </c>
      <c r="C258" s="8">
        <v>2</v>
      </c>
      <c r="D258" s="15">
        <v>42999</v>
      </c>
      <c r="E258" s="15">
        <f t="shared" si="3"/>
        <v>85998</v>
      </c>
    </row>
    <row r="259" spans="1:5" x14ac:dyDescent="0.35">
      <c r="A259" s="50">
        <v>43127</v>
      </c>
      <c r="B259" s="8" t="s">
        <v>73</v>
      </c>
      <c r="C259" s="8">
        <v>10</v>
      </c>
      <c r="D259" s="15">
        <v>43500</v>
      </c>
      <c r="E259" s="15">
        <f t="shared" si="3"/>
        <v>435000</v>
      </c>
    </row>
    <row r="260" spans="1:5" x14ac:dyDescent="0.35">
      <c r="A260" s="50">
        <v>43127</v>
      </c>
      <c r="B260" s="8" t="s">
        <v>157</v>
      </c>
      <c r="C260" s="8">
        <v>5</v>
      </c>
      <c r="D260" s="15">
        <v>56000</v>
      </c>
      <c r="E260" s="15">
        <f t="shared" ref="E260:E316" si="4">D260*C260</f>
        <v>280000</v>
      </c>
    </row>
    <row r="261" spans="1:5" x14ac:dyDescent="0.35">
      <c r="A261" s="50">
        <v>43127</v>
      </c>
      <c r="B261" s="8" t="s">
        <v>158</v>
      </c>
      <c r="C261" s="8">
        <v>4</v>
      </c>
      <c r="D261" s="15">
        <v>50000</v>
      </c>
      <c r="E261" s="15">
        <f t="shared" si="4"/>
        <v>200000</v>
      </c>
    </row>
    <row r="262" spans="1:5" x14ac:dyDescent="0.35">
      <c r="A262" s="50">
        <v>43127</v>
      </c>
      <c r="B262" s="8" t="s">
        <v>81</v>
      </c>
      <c r="C262" s="8">
        <v>1</v>
      </c>
      <c r="D262" s="15">
        <v>47000</v>
      </c>
      <c r="E262" s="15">
        <f t="shared" si="4"/>
        <v>47000</v>
      </c>
    </row>
    <row r="263" spans="1:5" x14ac:dyDescent="0.35">
      <c r="A263" s="50">
        <v>43127</v>
      </c>
      <c r="B263" s="8" t="s">
        <v>159</v>
      </c>
      <c r="C263" s="8">
        <v>18</v>
      </c>
      <c r="D263" s="15">
        <v>52000</v>
      </c>
      <c r="E263" s="15">
        <f t="shared" si="4"/>
        <v>936000</v>
      </c>
    </row>
    <row r="264" spans="1:5" x14ac:dyDescent="0.35">
      <c r="A264" s="50">
        <v>43127</v>
      </c>
      <c r="B264" s="8" t="s">
        <v>131</v>
      </c>
      <c r="C264" s="8">
        <v>2</v>
      </c>
      <c r="D264" s="15">
        <v>58000</v>
      </c>
      <c r="E264" s="15">
        <f t="shared" si="4"/>
        <v>116000</v>
      </c>
    </row>
    <row r="265" spans="1:5" x14ac:dyDescent="0.35">
      <c r="A265" s="50">
        <v>43127</v>
      </c>
      <c r="B265" s="8" t="s">
        <v>4</v>
      </c>
      <c r="C265" s="8">
        <v>5</v>
      </c>
      <c r="D265" s="15">
        <v>38000</v>
      </c>
      <c r="E265" s="15">
        <f t="shared" si="4"/>
        <v>190000</v>
      </c>
    </row>
    <row r="266" spans="1:5" x14ac:dyDescent="0.35">
      <c r="A266" s="50">
        <v>43127</v>
      </c>
      <c r="B266" s="8" t="s">
        <v>160</v>
      </c>
      <c r="C266" s="8">
        <v>6</v>
      </c>
      <c r="D266" s="15">
        <v>57000</v>
      </c>
      <c r="E266" s="15">
        <f t="shared" si="4"/>
        <v>342000</v>
      </c>
    </row>
    <row r="267" spans="1:5" x14ac:dyDescent="0.35">
      <c r="A267" s="50">
        <v>43127</v>
      </c>
      <c r="B267" s="8" t="s">
        <v>161</v>
      </c>
      <c r="C267" s="8">
        <v>1</v>
      </c>
      <c r="D267" s="15">
        <v>50000</v>
      </c>
      <c r="E267" s="15">
        <f t="shared" si="4"/>
        <v>50000</v>
      </c>
    </row>
    <row r="268" spans="1:5" x14ac:dyDescent="0.35">
      <c r="A268" s="50">
        <v>43127</v>
      </c>
      <c r="B268" s="8" t="s">
        <v>109</v>
      </c>
      <c r="C268" s="8">
        <v>1</v>
      </c>
      <c r="D268" s="15">
        <v>38000</v>
      </c>
      <c r="E268" s="15">
        <f t="shared" si="4"/>
        <v>38000</v>
      </c>
    </row>
    <row r="269" spans="1:5" x14ac:dyDescent="0.35">
      <c r="A269" s="50">
        <v>43129</v>
      </c>
      <c r="E269" s="15">
        <f t="shared" si="4"/>
        <v>0</v>
      </c>
    </row>
    <row r="270" spans="1:5" x14ac:dyDescent="0.35">
      <c r="A270" s="50">
        <v>43129</v>
      </c>
      <c r="B270" s="8" t="s">
        <v>163</v>
      </c>
      <c r="C270" s="8">
        <v>18</v>
      </c>
      <c r="D270" s="15">
        <v>3500</v>
      </c>
      <c r="E270" s="15">
        <f t="shared" si="4"/>
        <v>63000</v>
      </c>
    </row>
    <row r="271" spans="1:5" x14ac:dyDescent="0.35">
      <c r="A271" s="50">
        <v>43129</v>
      </c>
      <c r="B271" s="8" t="s">
        <v>34</v>
      </c>
      <c r="C271" s="8">
        <v>100</v>
      </c>
      <c r="D271" s="15">
        <v>44500</v>
      </c>
      <c r="E271" s="15">
        <f t="shared" si="4"/>
        <v>4450000</v>
      </c>
    </row>
    <row r="272" spans="1:5" x14ac:dyDescent="0.35">
      <c r="A272" s="50">
        <v>43129</v>
      </c>
      <c r="B272" s="8" t="s">
        <v>164</v>
      </c>
      <c r="C272" s="8">
        <v>3</v>
      </c>
      <c r="D272" s="15">
        <v>58000</v>
      </c>
      <c r="E272" s="15">
        <f t="shared" si="4"/>
        <v>174000</v>
      </c>
    </row>
    <row r="273" spans="1:5" x14ac:dyDescent="0.35">
      <c r="A273" s="50">
        <v>43129</v>
      </c>
      <c r="B273" s="8" t="s">
        <v>29</v>
      </c>
      <c r="C273" s="8">
        <v>1</v>
      </c>
      <c r="D273" s="15">
        <v>53000</v>
      </c>
      <c r="E273" s="15">
        <f t="shared" si="4"/>
        <v>53000</v>
      </c>
    </row>
    <row r="274" spans="1:5" x14ac:dyDescent="0.35">
      <c r="A274" s="50">
        <v>43129</v>
      </c>
      <c r="B274" s="8" t="s">
        <v>165</v>
      </c>
      <c r="C274" s="8">
        <v>6</v>
      </c>
      <c r="D274" s="15">
        <v>8500</v>
      </c>
      <c r="E274" s="15">
        <f t="shared" si="4"/>
        <v>51000</v>
      </c>
    </row>
    <row r="275" spans="1:5" x14ac:dyDescent="0.35">
      <c r="A275" s="50">
        <v>43129</v>
      </c>
      <c r="B275" s="8" t="s">
        <v>73</v>
      </c>
      <c r="C275" s="8">
        <v>7</v>
      </c>
      <c r="D275" s="15">
        <v>43500</v>
      </c>
      <c r="E275" s="15">
        <f t="shared" si="4"/>
        <v>304500</v>
      </c>
    </row>
    <row r="276" spans="1:5" x14ac:dyDescent="0.35">
      <c r="A276" s="50">
        <v>43129</v>
      </c>
      <c r="B276" s="8" t="s">
        <v>166</v>
      </c>
      <c r="C276" s="8">
        <v>6</v>
      </c>
      <c r="D276" s="15">
        <v>45000</v>
      </c>
      <c r="E276" s="15">
        <f t="shared" si="4"/>
        <v>270000</v>
      </c>
    </row>
    <row r="277" spans="1:5" x14ac:dyDescent="0.35">
      <c r="A277" s="50">
        <v>43129</v>
      </c>
      <c r="B277" s="8" t="s">
        <v>167</v>
      </c>
      <c r="C277" s="8">
        <v>3</v>
      </c>
      <c r="D277" s="15">
        <v>44000</v>
      </c>
      <c r="E277" s="15">
        <f t="shared" si="4"/>
        <v>132000</v>
      </c>
    </row>
    <row r="278" spans="1:5" x14ac:dyDescent="0.35">
      <c r="A278" s="50">
        <v>43129</v>
      </c>
      <c r="B278" s="8" t="s">
        <v>143</v>
      </c>
      <c r="C278" s="8">
        <v>5</v>
      </c>
      <c r="D278" s="15">
        <v>58000</v>
      </c>
      <c r="E278" s="15">
        <f t="shared" si="4"/>
        <v>290000</v>
      </c>
    </row>
    <row r="279" spans="1:5" x14ac:dyDescent="0.35">
      <c r="A279" s="50">
        <v>43129</v>
      </c>
      <c r="B279" s="8" t="s">
        <v>168</v>
      </c>
      <c r="C279" s="8">
        <v>70</v>
      </c>
      <c r="D279" s="15">
        <v>1600</v>
      </c>
      <c r="E279" s="15">
        <f t="shared" si="4"/>
        <v>112000</v>
      </c>
    </row>
    <row r="280" spans="1:5" x14ac:dyDescent="0.35">
      <c r="A280" s="50">
        <v>43129</v>
      </c>
      <c r="B280" s="8" t="s">
        <v>162</v>
      </c>
      <c r="C280" s="8">
        <v>2</v>
      </c>
      <c r="D280" s="15">
        <v>50000</v>
      </c>
      <c r="E280" s="15">
        <f t="shared" si="4"/>
        <v>100000</v>
      </c>
    </row>
    <row r="281" spans="1:5" x14ac:dyDescent="0.35">
      <c r="A281" s="50">
        <v>43129</v>
      </c>
      <c r="B281" s="8" t="s">
        <v>169</v>
      </c>
      <c r="C281" s="8">
        <v>11</v>
      </c>
      <c r="D281" s="15">
        <v>56000</v>
      </c>
      <c r="E281" s="15">
        <f t="shared" si="4"/>
        <v>616000</v>
      </c>
    </row>
    <row r="282" spans="1:5" x14ac:dyDescent="0.35">
      <c r="A282" s="50">
        <v>43129</v>
      </c>
      <c r="B282" s="8" t="s">
        <v>132</v>
      </c>
      <c r="C282" s="8">
        <v>3</v>
      </c>
      <c r="D282" s="15">
        <v>53000</v>
      </c>
      <c r="E282" s="15">
        <f t="shared" si="4"/>
        <v>159000</v>
      </c>
    </row>
    <row r="283" spans="1:5" x14ac:dyDescent="0.35">
      <c r="A283" s="50">
        <v>43129</v>
      </c>
      <c r="B283" s="8" t="s">
        <v>107</v>
      </c>
      <c r="C283" s="8">
        <v>6</v>
      </c>
      <c r="D283" s="15">
        <v>1600</v>
      </c>
      <c r="E283" s="15">
        <f t="shared" si="4"/>
        <v>9600</v>
      </c>
    </row>
    <row r="284" spans="1:5" x14ac:dyDescent="0.35">
      <c r="A284" s="50">
        <v>43130</v>
      </c>
      <c r="E284" s="15">
        <f t="shared" si="4"/>
        <v>0</v>
      </c>
    </row>
    <row r="285" spans="1:5" x14ac:dyDescent="0.35">
      <c r="A285" s="50">
        <v>43130</v>
      </c>
      <c r="B285" s="8" t="s">
        <v>118</v>
      </c>
      <c r="C285" s="8">
        <v>12</v>
      </c>
      <c r="D285" s="15">
        <v>45000</v>
      </c>
      <c r="E285" s="15">
        <f t="shared" si="4"/>
        <v>540000</v>
      </c>
    </row>
    <row r="286" spans="1:5" x14ac:dyDescent="0.35">
      <c r="A286" s="50">
        <v>43130</v>
      </c>
      <c r="B286" s="8" t="s">
        <v>8</v>
      </c>
      <c r="C286" s="8">
        <v>4</v>
      </c>
      <c r="D286" s="15">
        <v>55000</v>
      </c>
      <c r="E286" s="15">
        <f t="shared" si="4"/>
        <v>220000</v>
      </c>
    </row>
    <row r="287" spans="1:5" x14ac:dyDescent="0.35">
      <c r="A287" s="50">
        <v>43130</v>
      </c>
      <c r="B287" s="8" t="s">
        <v>170</v>
      </c>
      <c r="C287" s="8">
        <v>1</v>
      </c>
      <c r="D287" s="15">
        <v>56000</v>
      </c>
      <c r="E287" s="15">
        <f t="shared" si="4"/>
        <v>56000</v>
      </c>
    </row>
    <row r="288" spans="1:5" x14ac:dyDescent="0.35">
      <c r="A288" s="50">
        <v>43130</v>
      </c>
      <c r="B288" s="8" t="s">
        <v>171</v>
      </c>
      <c r="C288" s="8">
        <v>16</v>
      </c>
      <c r="D288" s="15">
        <v>8500</v>
      </c>
      <c r="E288" s="15">
        <f t="shared" si="4"/>
        <v>136000</v>
      </c>
    </row>
    <row r="289" spans="1:5" x14ac:dyDescent="0.35">
      <c r="A289" s="50">
        <v>43130</v>
      </c>
      <c r="B289" s="8" t="s">
        <v>172</v>
      </c>
      <c r="C289" s="8">
        <v>20</v>
      </c>
      <c r="D289" s="15">
        <v>2000</v>
      </c>
      <c r="E289" s="15">
        <f t="shared" si="4"/>
        <v>40000</v>
      </c>
    </row>
    <row r="290" spans="1:5" x14ac:dyDescent="0.35">
      <c r="A290" s="50">
        <v>43130</v>
      </c>
      <c r="B290" s="8" t="s">
        <v>173</v>
      </c>
      <c r="C290" s="8">
        <v>13</v>
      </c>
      <c r="D290" s="15">
        <v>1800</v>
      </c>
      <c r="E290" s="15">
        <f t="shared" si="4"/>
        <v>23400</v>
      </c>
    </row>
    <row r="291" spans="1:5" x14ac:dyDescent="0.35">
      <c r="A291" s="50">
        <v>43130</v>
      </c>
      <c r="B291" s="8" t="s">
        <v>123</v>
      </c>
      <c r="C291" s="8">
        <v>2</v>
      </c>
      <c r="D291" s="15">
        <v>55000</v>
      </c>
      <c r="E291" s="15">
        <f t="shared" si="4"/>
        <v>110000</v>
      </c>
    </row>
    <row r="292" spans="1:5" x14ac:dyDescent="0.35">
      <c r="A292" s="50">
        <v>43130</v>
      </c>
      <c r="B292" s="8" t="s">
        <v>85</v>
      </c>
      <c r="C292" s="8">
        <v>6</v>
      </c>
      <c r="D292" s="15">
        <v>45000</v>
      </c>
      <c r="E292" s="15">
        <f t="shared" si="4"/>
        <v>270000</v>
      </c>
    </row>
    <row r="293" spans="1:5" x14ac:dyDescent="0.35">
      <c r="A293" s="50">
        <v>43130</v>
      </c>
      <c r="B293" s="8" t="s">
        <v>112</v>
      </c>
      <c r="C293" s="8">
        <v>55</v>
      </c>
      <c r="D293" s="15">
        <v>42500</v>
      </c>
      <c r="E293" s="15">
        <f t="shared" si="4"/>
        <v>2337500</v>
      </c>
    </row>
    <row r="294" spans="1:5" x14ac:dyDescent="0.35">
      <c r="A294" s="50">
        <v>43130</v>
      </c>
      <c r="B294" s="8" t="s">
        <v>174</v>
      </c>
      <c r="C294" s="8">
        <v>10</v>
      </c>
      <c r="D294" s="15">
        <v>1500</v>
      </c>
      <c r="E294" s="15">
        <f t="shared" si="4"/>
        <v>15000</v>
      </c>
    </row>
    <row r="295" spans="1:5" x14ac:dyDescent="0.35">
      <c r="A295" s="50">
        <v>43130</v>
      </c>
      <c r="B295" s="8" t="s">
        <v>151</v>
      </c>
      <c r="C295" s="8">
        <v>1</v>
      </c>
      <c r="D295" s="15">
        <v>46500</v>
      </c>
      <c r="E295" s="15">
        <f t="shared" si="4"/>
        <v>46500</v>
      </c>
    </row>
    <row r="296" spans="1:5" x14ac:dyDescent="0.35">
      <c r="A296" s="50">
        <v>43130</v>
      </c>
      <c r="B296" s="8" t="s">
        <v>175</v>
      </c>
      <c r="C296" s="8">
        <v>3</v>
      </c>
      <c r="D296" s="15">
        <v>55000</v>
      </c>
      <c r="E296" s="15">
        <f t="shared" si="4"/>
        <v>165000</v>
      </c>
    </row>
    <row r="297" spans="1:5" x14ac:dyDescent="0.35">
      <c r="A297" s="50">
        <v>43130</v>
      </c>
      <c r="B297" s="8" t="s">
        <v>92</v>
      </c>
      <c r="C297" s="8">
        <v>31</v>
      </c>
      <c r="D297" s="15">
        <v>1600</v>
      </c>
      <c r="E297" s="15">
        <f t="shared" si="4"/>
        <v>49600</v>
      </c>
    </row>
    <row r="298" spans="1:5" x14ac:dyDescent="0.35">
      <c r="A298" s="50">
        <v>43130</v>
      </c>
      <c r="B298" s="8" t="s">
        <v>127</v>
      </c>
      <c r="C298" s="8">
        <v>15</v>
      </c>
      <c r="D298" s="15">
        <v>2000</v>
      </c>
      <c r="E298" s="15">
        <f t="shared" si="4"/>
        <v>30000</v>
      </c>
    </row>
    <row r="299" spans="1:5" x14ac:dyDescent="0.35">
      <c r="A299" s="50">
        <v>43130</v>
      </c>
      <c r="B299" s="8" t="s">
        <v>157</v>
      </c>
      <c r="C299" s="8">
        <v>6</v>
      </c>
      <c r="D299" s="15">
        <v>56000</v>
      </c>
      <c r="E299" s="15">
        <f t="shared" si="4"/>
        <v>336000</v>
      </c>
    </row>
    <row r="300" spans="1:5" x14ac:dyDescent="0.35">
      <c r="A300" s="50">
        <v>43130</v>
      </c>
      <c r="B300" s="8" t="s">
        <v>176</v>
      </c>
      <c r="C300" s="8">
        <v>27</v>
      </c>
      <c r="D300" s="15">
        <v>3500</v>
      </c>
      <c r="E300" s="15">
        <f t="shared" si="4"/>
        <v>94500</v>
      </c>
    </row>
    <row r="301" spans="1:5" x14ac:dyDescent="0.35">
      <c r="A301" s="50">
        <v>43130</v>
      </c>
      <c r="B301" s="8" t="s">
        <v>4</v>
      </c>
      <c r="C301" s="8">
        <v>2</v>
      </c>
      <c r="D301" s="15">
        <v>38000</v>
      </c>
      <c r="E301" s="15">
        <f t="shared" si="4"/>
        <v>76000</v>
      </c>
    </row>
    <row r="302" spans="1:5" x14ac:dyDescent="0.35">
      <c r="A302" s="50">
        <v>43130</v>
      </c>
      <c r="B302" s="8" t="s">
        <v>81</v>
      </c>
      <c r="C302" s="8">
        <v>1</v>
      </c>
      <c r="D302" s="15">
        <v>47000</v>
      </c>
      <c r="E302" s="15">
        <f t="shared" si="4"/>
        <v>47000</v>
      </c>
    </row>
    <row r="303" spans="1:5" x14ac:dyDescent="0.35">
      <c r="A303" s="50">
        <v>43130</v>
      </c>
      <c r="B303" s="8" t="s">
        <v>67</v>
      </c>
      <c r="C303" s="8">
        <v>1</v>
      </c>
      <c r="D303" s="15">
        <v>29000</v>
      </c>
      <c r="E303" s="15">
        <f t="shared" si="4"/>
        <v>29000</v>
      </c>
    </row>
    <row r="304" spans="1:5" x14ac:dyDescent="0.35">
      <c r="A304" s="50">
        <v>43130</v>
      </c>
      <c r="B304" s="8" t="s">
        <v>165</v>
      </c>
      <c r="C304" s="8">
        <v>7</v>
      </c>
      <c r="D304" s="15">
        <v>85000</v>
      </c>
      <c r="E304" s="15">
        <f t="shared" si="4"/>
        <v>595000</v>
      </c>
    </row>
    <row r="305" spans="1:5" x14ac:dyDescent="0.35">
      <c r="A305" s="50">
        <v>43130</v>
      </c>
      <c r="B305" s="8" t="s">
        <v>177</v>
      </c>
      <c r="C305" s="8">
        <v>20</v>
      </c>
      <c r="D305" s="15">
        <v>2000</v>
      </c>
      <c r="E305" s="15">
        <f t="shared" si="4"/>
        <v>40000</v>
      </c>
    </row>
    <row r="306" spans="1:5" x14ac:dyDescent="0.35">
      <c r="A306" s="50">
        <v>43131</v>
      </c>
      <c r="E306" s="15">
        <f t="shared" si="4"/>
        <v>0</v>
      </c>
    </row>
    <row r="307" spans="1:5" x14ac:dyDescent="0.35">
      <c r="A307" s="50">
        <v>43131</v>
      </c>
      <c r="B307" s="8" t="s">
        <v>180</v>
      </c>
      <c r="C307" s="8">
        <v>1</v>
      </c>
      <c r="D307" s="15">
        <v>10000</v>
      </c>
      <c r="E307" s="15">
        <f t="shared" si="4"/>
        <v>10000</v>
      </c>
    </row>
    <row r="308" spans="1:5" x14ac:dyDescent="0.35">
      <c r="A308" s="50">
        <v>43131</v>
      </c>
      <c r="B308" s="8" t="s">
        <v>92</v>
      </c>
      <c r="C308" s="8">
        <v>31</v>
      </c>
      <c r="D308" s="15">
        <v>1600</v>
      </c>
      <c r="E308" s="15">
        <f t="shared" si="4"/>
        <v>49600</v>
      </c>
    </row>
    <row r="309" spans="1:5" x14ac:dyDescent="0.35">
      <c r="A309" s="50">
        <v>43131</v>
      </c>
      <c r="B309" s="8" t="s">
        <v>92</v>
      </c>
      <c r="C309" s="8">
        <v>13</v>
      </c>
      <c r="D309" s="15">
        <v>1600</v>
      </c>
      <c r="E309" s="15">
        <f t="shared" si="4"/>
        <v>20800</v>
      </c>
    </row>
    <row r="310" spans="1:5" x14ac:dyDescent="0.35">
      <c r="A310" s="50">
        <v>43131</v>
      </c>
      <c r="B310" s="8" t="s">
        <v>179</v>
      </c>
      <c r="C310" s="8">
        <v>42</v>
      </c>
      <c r="D310" s="15">
        <v>49000</v>
      </c>
      <c r="E310" s="15">
        <f t="shared" si="4"/>
        <v>2058000</v>
      </c>
    </row>
    <row r="311" spans="1:5" x14ac:dyDescent="0.35">
      <c r="A311" s="50">
        <v>43131</v>
      </c>
      <c r="B311" s="8" t="s">
        <v>178</v>
      </c>
      <c r="C311" s="8">
        <v>12</v>
      </c>
      <c r="D311" s="15">
        <v>49000</v>
      </c>
      <c r="E311" s="15">
        <f t="shared" si="4"/>
        <v>588000</v>
      </c>
    </row>
    <row r="312" spans="1:5" x14ac:dyDescent="0.35">
      <c r="A312" s="50">
        <v>43131</v>
      </c>
      <c r="B312" s="8" t="s">
        <v>43</v>
      </c>
      <c r="C312" s="8">
        <v>5</v>
      </c>
      <c r="D312" s="15">
        <v>44000</v>
      </c>
      <c r="E312" s="15">
        <f t="shared" si="4"/>
        <v>220000</v>
      </c>
    </row>
    <row r="313" spans="1:5" x14ac:dyDescent="0.35">
      <c r="A313" s="50">
        <v>43131</v>
      </c>
      <c r="B313" s="8" t="s">
        <v>181</v>
      </c>
      <c r="C313" s="8">
        <v>3</v>
      </c>
      <c r="D313" s="15">
        <v>46000</v>
      </c>
      <c r="E313" s="15">
        <f t="shared" si="4"/>
        <v>138000</v>
      </c>
    </row>
    <row r="314" spans="1:5" x14ac:dyDescent="0.35">
      <c r="A314" s="50">
        <v>43131</v>
      </c>
      <c r="B314" s="8" t="s">
        <v>166</v>
      </c>
      <c r="C314" s="8">
        <v>3</v>
      </c>
      <c r="D314" s="15">
        <v>45000</v>
      </c>
      <c r="E314" s="15">
        <f t="shared" si="4"/>
        <v>135000</v>
      </c>
    </row>
    <row r="315" spans="1:5" x14ac:dyDescent="0.35">
      <c r="A315" s="50">
        <v>43131</v>
      </c>
      <c r="B315" s="8" t="s">
        <v>182</v>
      </c>
      <c r="C315" s="8">
        <v>4</v>
      </c>
      <c r="D315" s="15">
        <v>21000</v>
      </c>
      <c r="E315" s="15">
        <f t="shared" si="4"/>
        <v>84000</v>
      </c>
    </row>
    <row r="316" spans="1:5" x14ac:dyDescent="0.35">
      <c r="A316" s="50">
        <v>43131</v>
      </c>
      <c r="B316" s="8" t="s">
        <v>4</v>
      </c>
      <c r="C316" s="8">
        <v>10</v>
      </c>
      <c r="D316" s="15">
        <v>37000</v>
      </c>
      <c r="E316" s="15">
        <f t="shared" si="4"/>
        <v>370000</v>
      </c>
    </row>
    <row r="1048576" spans="1:8" x14ac:dyDescent="0.35">
      <c r="A1048576" s="41"/>
      <c r="B1048576" s="11"/>
      <c r="C1048576" s="11"/>
      <c r="D1048576" s="16"/>
      <c r="E1048576" s="16"/>
      <c r="F1048576" s="20"/>
      <c r="G1048576" s="11"/>
      <c r="H1048576" s="23"/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2"/>
  <sheetViews>
    <sheetView workbookViewId="0">
      <selection activeCell="F33" sqref="F33"/>
    </sheetView>
  </sheetViews>
  <sheetFormatPr defaultRowHeight="15.5" x14ac:dyDescent="0.35"/>
  <cols>
    <col min="1" max="1" width="15.4140625" style="13" customWidth="1"/>
    <col min="2" max="2" width="28.5" style="5" customWidth="1"/>
    <col min="3" max="3" width="12.75" style="5" customWidth="1"/>
    <col min="4" max="4" width="13.83203125" style="17" customWidth="1"/>
    <col min="5" max="5" width="15.75" style="17" customWidth="1"/>
    <col min="6" max="6" width="12.33203125" style="13" customWidth="1"/>
    <col min="7" max="7" width="16.08203125" style="5" customWidth="1"/>
    <col min="8" max="8" width="17.08203125" style="17" customWidth="1"/>
    <col min="10" max="10" width="13.75" customWidth="1"/>
  </cols>
  <sheetData>
    <row r="1" spans="1:10" x14ac:dyDescent="0.35">
      <c r="A1" s="13" t="s">
        <v>834</v>
      </c>
      <c r="B1" s="5" t="s">
        <v>835</v>
      </c>
      <c r="C1" s="5" t="s">
        <v>836</v>
      </c>
      <c r="D1" s="17" t="s">
        <v>837</v>
      </c>
      <c r="E1" s="17" t="s">
        <v>838</v>
      </c>
      <c r="F1" s="13" t="s">
        <v>839</v>
      </c>
      <c r="G1" s="5" t="s">
        <v>840</v>
      </c>
      <c r="H1" s="17" t="s">
        <v>841</v>
      </c>
    </row>
    <row r="3" spans="1:10" x14ac:dyDescent="0.35">
      <c r="A3" s="13">
        <v>43132</v>
      </c>
      <c r="B3" s="5" t="s">
        <v>4</v>
      </c>
      <c r="C3" s="5">
        <v>1</v>
      </c>
      <c r="D3" s="17">
        <v>37000</v>
      </c>
      <c r="E3" s="17">
        <f>Table9[[#This Row],[Harga Per Unit]]*Table9[[#This Row],[Unit Terjual]]</f>
        <v>37000</v>
      </c>
      <c r="F3" s="13">
        <v>43133</v>
      </c>
      <c r="G3" s="5" t="s">
        <v>196</v>
      </c>
      <c r="H3" s="17">
        <v>30000</v>
      </c>
    </row>
    <row r="4" spans="1:10" x14ac:dyDescent="0.35">
      <c r="A4" s="13">
        <v>43132</v>
      </c>
      <c r="B4" s="5" t="s">
        <v>183</v>
      </c>
      <c r="C4" s="5">
        <v>1</v>
      </c>
      <c r="D4" s="17">
        <v>29000</v>
      </c>
      <c r="E4" s="17">
        <f>Table9[[#This Row],[Harga Per Unit]]*Table9[[#This Row],[Unit Terjual]]</f>
        <v>29000</v>
      </c>
    </row>
    <row r="5" spans="1:10" x14ac:dyDescent="0.35">
      <c r="A5" s="13">
        <v>43132</v>
      </c>
      <c r="B5" s="5" t="s">
        <v>184</v>
      </c>
      <c r="C5" s="5">
        <v>24</v>
      </c>
      <c r="D5" s="17">
        <v>4000</v>
      </c>
      <c r="E5" s="17">
        <f>Table9[[#This Row],[Harga Per Unit]]*Table9[[#This Row],[Unit Terjual]]</f>
        <v>96000</v>
      </c>
      <c r="F5" s="13">
        <v>43137</v>
      </c>
      <c r="G5" s="5" t="s">
        <v>77</v>
      </c>
      <c r="H5" s="17">
        <v>300000</v>
      </c>
    </row>
    <row r="6" spans="1:10" x14ac:dyDescent="0.35">
      <c r="A6" s="13">
        <v>43132</v>
      </c>
      <c r="B6" s="5" t="s">
        <v>185</v>
      </c>
      <c r="C6" s="5">
        <v>1</v>
      </c>
      <c r="D6" s="17">
        <v>45000</v>
      </c>
      <c r="E6" s="17">
        <f>Table9[[#This Row],[Harga Per Unit]]*Table9[[#This Row],[Unit Terjual]]</f>
        <v>45000</v>
      </c>
    </row>
    <row r="7" spans="1:10" x14ac:dyDescent="0.35">
      <c r="A7" s="13">
        <v>43132</v>
      </c>
      <c r="B7" s="5" t="s">
        <v>60</v>
      </c>
      <c r="C7" s="5">
        <v>10</v>
      </c>
      <c r="D7" s="17">
        <v>54000</v>
      </c>
      <c r="E7" s="17">
        <f>Table9[[#This Row],[Harga Per Unit]]*Table9[[#This Row],[Unit Terjual]]</f>
        <v>540000</v>
      </c>
      <c r="F7" s="13">
        <v>43141</v>
      </c>
      <c r="G7" s="5" t="s">
        <v>77</v>
      </c>
      <c r="H7" s="17">
        <v>300000</v>
      </c>
    </row>
    <row r="8" spans="1:10" x14ac:dyDescent="0.35">
      <c r="A8" s="13">
        <v>43132</v>
      </c>
      <c r="B8" s="5" t="s">
        <v>25</v>
      </c>
      <c r="C8" s="5">
        <v>8</v>
      </c>
      <c r="D8" s="17">
        <v>54500</v>
      </c>
      <c r="E8" s="17">
        <f>Table9[[#This Row],[Harga Per Unit]]*Table9[[#This Row],[Unit Terjual]]</f>
        <v>436000</v>
      </c>
    </row>
    <row r="9" spans="1:10" x14ac:dyDescent="0.35">
      <c r="E9" s="17">
        <f>Table9[[#This Row],[Harga Per Unit]]*Table9[[#This Row],[Unit Terjual]]</f>
        <v>0</v>
      </c>
      <c r="F9" s="13">
        <v>43144</v>
      </c>
      <c r="G9" s="5" t="s">
        <v>78</v>
      </c>
      <c r="H9" s="17">
        <v>687000</v>
      </c>
    </row>
    <row r="10" spans="1:10" x14ac:dyDescent="0.35">
      <c r="A10" s="13">
        <v>43133</v>
      </c>
      <c r="B10" s="5" t="s">
        <v>43</v>
      </c>
      <c r="C10" s="5">
        <v>1</v>
      </c>
      <c r="D10" s="17">
        <v>45000</v>
      </c>
      <c r="E10" s="17">
        <f>Table9[[#This Row],[Harga Per Unit]]*Table9[[#This Row],[Unit Terjual]]</f>
        <v>45000</v>
      </c>
      <c r="F10" s="13">
        <v>43144</v>
      </c>
      <c r="G10" s="5" t="s">
        <v>236</v>
      </c>
      <c r="H10" s="17">
        <v>150000</v>
      </c>
      <c r="J10" s="1"/>
    </row>
    <row r="11" spans="1:10" x14ac:dyDescent="0.35">
      <c r="A11" s="13">
        <v>43133</v>
      </c>
      <c r="B11" s="5" t="s">
        <v>187</v>
      </c>
      <c r="C11" s="5">
        <v>5</v>
      </c>
      <c r="D11" s="17">
        <v>45000</v>
      </c>
      <c r="E11" s="17">
        <f>Table9[[#This Row],[Harga Per Unit]]*Table9[[#This Row],[Unit Terjual]]</f>
        <v>225000</v>
      </c>
      <c r="F11" s="13">
        <v>43144</v>
      </c>
      <c r="G11" s="5" t="s">
        <v>196</v>
      </c>
      <c r="H11" s="17">
        <v>30000</v>
      </c>
      <c r="J11" s="42"/>
    </row>
    <row r="12" spans="1:10" x14ac:dyDescent="0.35">
      <c r="A12" s="13">
        <v>43133</v>
      </c>
      <c r="B12" s="5" t="s">
        <v>75</v>
      </c>
      <c r="C12" s="5">
        <v>2</v>
      </c>
      <c r="D12" s="17">
        <v>50000</v>
      </c>
      <c r="E12" s="17">
        <f>Table9[[#This Row],[Harga Per Unit]]*Table9[[#This Row],[Unit Terjual]]</f>
        <v>100000</v>
      </c>
    </row>
    <row r="13" spans="1:10" x14ac:dyDescent="0.35">
      <c r="A13" s="13">
        <v>43133</v>
      </c>
      <c r="B13" s="5" t="s">
        <v>187</v>
      </c>
      <c r="C13" s="5">
        <v>12</v>
      </c>
      <c r="D13" s="17">
        <v>45000</v>
      </c>
      <c r="E13" s="17">
        <f>Table9[[#This Row],[Harga Per Unit]]*Table9[[#This Row],[Unit Terjual]]</f>
        <v>540000</v>
      </c>
      <c r="F13" s="13">
        <v>43147</v>
      </c>
      <c r="G13" s="5" t="s">
        <v>236</v>
      </c>
      <c r="H13" s="17">
        <v>30000</v>
      </c>
    </row>
    <row r="14" spans="1:10" x14ac:dyDescent="0.35">
      <c r="A14" s="13">
        <v>43133</v>
      </c>
      <c r="B14" s="5" t="s">
        <v>188</v>
      </c>
      <c r="C14" s="5">
        <v>4</v>
      </c>
      <c r="D14" s="17">
        <v>47000</v>
      </c>
      <c r="E14" s="17">
        <f>Table9[[#This Row],[Harga Per Unit]]*Table9[[#This Row],[Unit Terjual]]</f>
        <v>188000</v>
      </c>
    </row>
    <row r="15" spans="1:10" x14ac:dyDescent="0.35">
      <c r="A15" s="13">
        <v>43133</v>
      </c>
      <c r="B15" s="5" t="s">
        <v>7</v>
      </c>
      <c r="C15" s="5">
        <v>50</v>
      </c>
      <c r="D15" s="17">
        <v>45000</v>
      </c>
      <c r="E15" s="17">
        <f>Table9[[#This Row],[Harga Per Unit]]*Table9[[#This Row],[Unit Terjual]]</f>
        <v>2250000</v>
      </c>
      <c r="F15" s="13">
        <v>43148</v>
      </c>
      <c r="G15" s="5" t="s">
        <v>77</v>
      </c>
      <c r="H15" s="17">
        <v>300000</v>
      </c>
    </row>
    <row r="16" spans="1:10" x14ac:dyDescent="0.35">
      <c r="A16" s="13">
        <v>43133</v>
      </c>
      <c r="B16" s="5" t="s">
        <v>189</v>
      </c>
      <c r="C16" s="5">
        <v>2</v>
      </c>
      <c r="D16" s="17">
        <v>13000</v>
      </c>
      <c r="E16" s="17">
        <f>Table9[[#This Row],[Harga Per Unit]]*Table9[[#This Row],[Unit Terjual]]</f>
        <v>26000</v>
      </c>
      <c r="F16" s="13">
        <v>43148</v>
      </c>
      <c r="G16" s="5" t="s">
        <v>17</v>
      </c>
      <c r="H16" s="17">
        <v>100000</v>
      </c>
    </row>
    <row r="17" spans="1:8" x14ac:dyDescent="0.35">
      <c r="A17" s="13">
        <v>43133</v>
      </c>
      <c r="B17" s="5" t="s">
        <v>38</v>
      </c>
      <c r="C17" s="5">
        <v>1</v>
      </c>
      <c r="D17" s="17">
        <v>50000</v>
      </c>
      <c r="E17" s="17">
        <f>Table9[[#This Row],[Harga Per Unit]]*Table9[[#This Row],[Unit Terjual]]</f>
        <v>50000</v>
      </c>
      <c r="F17" s="13">
        <v>43148</v>
      </c>
      <c r="G17" s="5" t="s">
        <v>249</v>
      </c>
      <c r="H17" s="17">
        <v>25000</v>
      </c>
    </row>
    <row r="18" spans="1:8" x14ac:dyDescent="0.35">
      <c r="A18" s="13">
        <v>43133</v>
      </c>
      <c r="B18" s="5" t="s">
        <v>101</v>
      </c>
      <c r="C18" s="5">
        <v>2</v>
      </c>
      <c r="D18" s="17">
        <v>50000</v>
      </c>
      <c r="E18" s="17">
        <f>Table9[[#This Row],[Harga Per Unit]]*Table9[[#This Row],[Unit Terjual]]</f>
        <v>100000</v>
      </c>
    </row>
    <row r="19" spans="1:8" x14ac:dyDescent="0.35">
      <c r="A19" s="13">
        <v>43133</v>
      </c>
      <c r="B19" s="5" t="s">
        <v>29</v>
      </c>
      <c r="C19" s="5">
        <v>2</v>
      </c>
      <c r="D19" s="17">
        <v>52000</v>
      </c>
      <c r="E19" s="17">
        <f>Table9[[#This Row],[Harga Per Unit]]*Table9[[#This Row],[Unit Terjual]]</f>
        <v>104000</v>
      </c>
      <c r="F19" s="13">
        <v>43151</v>
      </c>
      <c r="G19" s="5" t="s">
        <v>17</v>
      </c>
      <c r="H19" s="17">
        <v>100000</v>
      </c>
    </row>
    <row r="20" spans="1:8" x14ac:dyDescent="0.35">
      <c r="E20" s="17">
        <f>Table9[[#This Row],[Harga Per Unit]]*Table9[[#This Row],[Unit Terjual]]</f>
        <v>0</v>
      </c>
      <c r="F20" s="13">
        <v>43151</v>
      </c>
      <c r="G20" s="5" t="s">
        <v>14</v>
      </c>
      <c r="H20" s="17">
        <v>36000</v>
      </c>
    </row>
    <row r="21" spans="1:8" x14ac:dyDescent="0.35">
      <c r="A21" s="13">
        <v>43134</v>
      </c>
      <c r="B21" s="5" t="s">
        <v>116</v>
      </c>
      <c r="C21" s="5">
        <v>4</v>
      </c>
      <c r="D21" s="17">
        <v>53000</v>
      </c>
      <c r="E21" s="17">
        <f>D21*C21</f>
        <v>212000</v>
      </c>
    </row>
    <row r="22" spans="1:8" x14ac:dyDescent="0.35">
      <c r="A22" s="13">
        <v>43134</v>
      </c>
      <c r="B22" s="5" t="s">
        <v>152</v>
      </c>
      <c r="C22" s="5">
        <v>1</v>
      </c>
      <c r="D22" s="17">
        <v>57000</v>
      </c>
      <c r="E22" s="17">
        <f t="shared" ref="E22:E85" si="0">D22*C22</f>
        <v>57000</v>
      </c>
      <c r="F22" s="13">
        <v>43152</v>
      </c>
      <c r="G22" s="5" t="s">
        <v>76</v>
      </c>
      <c r="H22" s="17">
        <v>15000</v>
      </c>
    </row>
    <row r="23" spans="1:8" x14ac:dyDescent="0.35">
      <c r="A23" s="13">
        <f>$A$22</f>
        <v>43134</v>
      </c>
      <c r="B23" s="5" t="s">
        <v>190</v>
      </c>
      <c r="C23" s="5">
        <v>15</v>
      </c>
      <c r="D23" s="17">
        <v>59000</v>
      </c>
      <c r="E23" s="17">
        <f t="shared" si="0"/>
        <v>885000</v>
      </c>
      <c r="F23" s="13">
        <v>43152</v>
      </c>
      <c r="G23" s="5" t="s">
        <v>269</v>
      </c>
      <c r="H23" s="17">
        <v>6000</v>
      </c>
    </row>
    <row r="24" spans="1:8" x14ac:dyDescent="0.35">
      <c r="A24" s="13">
        <f t="shared" ref="A24:A34" si="1">$A$22</f>
        <v>43134</v>
      </c>
      <c r="B24" s="5" t="s">
        <v>156</v>
      </c>
      <c r="C24" s="5">
        <v>2</v>
      </c>
      <c r="D24" s="17">
        <v>49000</v>
      </c>
      <c r="E24" s="17">
        <f t="shared" si="0"/>
        <v>98000</v>
      </c>
      <c r="F24" s="13">
        <v>43152</v>
      </c>
      <c r="G24" s="5" t="s">
        <v>270</v>
      </c>
      <c r="H24" s="17">
        <v>26000</v>
      </c>
    </row>
    <row r="25" spans="1:8" x14ac:dyDescent="0.35">
      <c r="A25" s="13">
        <f t="shared" si="1"/>
        <v>43134</v>
      </c>
      <c r="B25" s="5" t="s">
        <v>25</v>
      </c>
      <c r="C25" s="5">
        <v>16</v>
      </c>
      <c r="D25" s="17">
        <v>54000</v>
      </c>
      <c r="E25" s="17">
        <f t="shared" si="0"/>
        <v>864000</v>
      </c>
    </row>
    <row r="26" spans="1:8" x14ac:dyDescent="0.35">
      <c r="A26" s="13">
        <f t="shared" si="1"/>
        <v>43134</v>
      </c>
      <c r="B26" s="5" t="s">
        <v>34</v>
      </c>
      <c r="C26" s="5">
        <v>18</v>
      </c>
      <c r="D26" s="17">
        <v>46000</v>
      </c>
      <c r="E26" s="17">
        <f t="shared" si="0"/>
        <v>828000</v>
      </c>
      <c r="F26" s="13">
        <v>43155</v>
      </c>
      <c r="G26" s="5" t="s">
        <v>236</v>
      </c>
      <c r="H26" s="17">
        <v>30000</v>
      </c>
    </row>
    <row r="27" spans="1:8" x14ac:dyDescent="0.35">
      <c r="A27" s="13">
        <f t="shared" si="1"/>
        <v>43134</v>
      </c>
      <c r="B27" s="5" t="s">
        <v>127</v>
      </c>
      <c r="C27" s="5">
        <v>20</v>
      </c>
      <c r="D27" s="17">
        <v>2000</v>
      </c>
      <c r="E27" s="17">
        <f t="shared" si="0"/>
        <v>40000</v>
      </c>
      <c r="F27" s="13">
        <v>43155</v>
      </c>
      <c r="G27" s="5" t="s">
        <v>77</v>
      </c>
      <c r="H27" s="17">
        <v>320000</v>
      </c>
    </row>
    <row r="28" spans="1:8" x14ac:dyDescent="0.35">
      <c r="A28" s="13">
        <f t="shared" si="1"/>
        <v>43134</v>
      </c>
      <c r="B28" s="5" t="s">
        <v>191</v>
      </c>
      <c r="C28" s="5">
        <v>10</v>
      </c>
      <c r="D28" s="17">
        <v>48000</v>
      </c>
      <c r="E28" s="17">
        <f t="shared" si="0"/>
        <v>480000</v>
      </c>
      <c r="F28" s="13">
        <v>43155</v>
      </c>
      <c r="G28" s="5" t="s">
        <v>277</v>
      </c>
      <c r="H28" s="17">
        <v>15000</v>
      </c>
    </row>
    <row r="29" spans="1:8" x14ac:dyDescent="0.35">
      <c r="A29" s="13">
        <f t="shared" si="1"/>
        <v>43134</v>
      </c>
      <c r="B29" s="5" t="s">
        <v>192</v>
      </c>
      <c r="C29" s="5">
        <v>70</v>
      </c>
      <c r="D29" s="17">
        <v>1600</v>
      </c>
      <c r="E29" s="17">
        <f t="shared" si="0"/>
        <v>112000</v>
      </c>
    </row>
    <row r="30" spans="1:8" x14ac:dyDescent="0.35">
      <c r="A30" s="13">
        <f t="shared" si="1"/>
        <v>43134</v>
      </c>
      <c r="B30" s="5" t="s">
        <v>193</v>
      </c>
      <c r="C30" s="5">
        <v>3</v>
      </c>
      <c r="D30" s="17">
        <v>14000</v>
      </c>
      <c r="E30" s="17">
        <f t="shared" si="0"/>
        <v>42000</v>
      </c>
      <c r="F30" s="13">
        <v>43159</v>
      </c>
      <c r="G30" s="5" t="s">
        <v>17</v>
      </c>
      <c r="H30" s="17">
        <v>25000</v>
      </c>
    </row>
    <row r="31" spans="1:8" x14ac:dyDescent="0.35">
      <c r="A31" s="13">
        <f t="shared" si="1"/>
        <v>43134</v>
      </c>
      <c r="B31" s="5" t="s">
        <v>194</v>
      </c>
      <c r="C31" s="5">
        <v>15</v>
      </c>
      <c r="D31" s="17">
        <v>2000</v>
      </c>
      <c r="E31" s="17">
        <f t="shared" si="0"/>
        <v>30000</v>
      </c>
      <c r="F31" s="13">
        <v>43159</v>
      </c>
      <c r="G31" s="5" t="s">
        <v>76</v>
      </c>
      <c r="H31" s="17">
        <v>13000</v>
      </c>
    </row>
    <row r="32" spans="1:8" x14ac:dyDescent="0.35">
      <c r="A32" s="13">
        <f t="shared" si="1"/>
        <v>43134</v>
      </c>
      <c r="B32" s="5" t="s">
        <v>33</v>
      </c>
      <c r="C32" s="5">
        <v>5</v>
      </c>
      <c r="D32" s="17">
        <v>49000</v>
      </c>
      <c r="E32" s="17">
        <f t="shared" si="0"/>
        <v>245000</v>
      </c>
      <c r="F32" s="13">
        <v>43159</v>
      </c>
      <c r="G32" s="5" t="s">
        <v>308</v>
      </c>
      <c r="H32" s="17">
        <v>100000</v>
      </c>
    </row>
    <row r="33" spans="1:8" x14ac:dyDescent="0.35">
      <c r="A33" s="13">
        <f t="shared" si="1"/>
        <v>43134</v>
      </c>
      <c r="B33" s="5" t="s">
        <v>195</v>
      </c>
      <c r="C33" s="5">
        <v>8</v>
      </c>
      <c r="D33" s="17">
        <v>53000</v>
      </c>
      <c r="E33" s="17">
        <f t="shared" si="0"/>
        <v>424000</v>
      </c>
      <c r="F33" s="13">
        <v>43159</v>
      </c>
      <c r="G33" s="5" t="s">
        <v>17</v>
      </c>
      <c r="H33" s="17">
        <v>50000</v>
      </c>
    </row>
    <row r="34" spans="1:8" x14ac:dyDescent="0.35">
      <c r="A34" s="13">
        <f t="shared" si="1"/>
        <v>43134</v>
      </c>
      <c r="B34" s="5" t="s">
        <v>186</v>
      </c>
      <c r="C34" s="5">
        <v>10</v>
      </c>
      <c r="D34" s="17">
        <v>42500</v>
      </c>
      <c r="E34" s="17">
        <f t="shared" si="0"/>
        <v>425000</v>
      </c>
    </row>
    <row r="35" spans="1:8" x14ac:dyDescent="0.35">
      <c r="A35" s="13">
        <v>43136</v>
      </c>
      <c r="E35" s="17">
        <f t="shared" si="0"/>
        <v>0</v>
      </c>
      <c r="F35" s="13" t="s">
        <v>309</v>
      </c>
      <c r="H35" s="17">
        <f>SUM(H2:H34)</f>
        <v>2688000</v>
      </c>
    </row>
    <row r="36" spans="1:8" x14ac:dyDescent="0.35">
      <c r="A36" s="13">
        <f>$A$35</f>
        <v>43136</v>
      </c>
      <c r="B36" s="5" t="s">
        <v>197</v>
      </c>
      <c r="C36" s="5">
        <v>15</v>
      </c>
      <c r="D36" s="17">
        <v>1600</v>
      </c>
      <c r="E36" s="17">
        <f t="shared" si="0"/>
        <v>24000</v>
      </c>
    </row>
    <row r="37" spans="1:8" x14ac:dyDescent="0.35">
      <c r="A37" s="13">
        <f t="shared" ref="A37:A53" si="2">$A$35</f>
        <v>43136</v>
      </c>
      <c r="B37" s="5" t="s">
        <v>96</v>
      </c>
      <c r="C37" s="5">
        <v>10</v>
      </c>
      <c r="D37" s="17">
        <v>49000</v>
      </c>
      <c r="E37" s="17">
        <f t="shared" si="0"/>
        <v>490000</v>
      </c>
    </row>
    <row r="38" spans="1:8" x14ac:dyDescent="0.35">
      <c r="A38" s="13">
        <f t="shared" si="2"/>
        <v>43136</v>
      </c>
      <c r="B38" s="5" t="s">
        <v>198</v>
      </c>
      <c r="C38" s="5">
        <v>15</v>
      </c>
      <c r="D38" s="17">
        <v>8000</v>
      </c>
      <c r="E38" s="17">
        <f t="shared" si="0"/>
        <v>120000</v>
      </c>
    </row>
    <row r="39" spans="1:8" x14ac:dyDescent="0.35">
      <c r="A39" s="13">
        <f t="shared" si="2"/>
        <v>43136</v>
      </c>
      <c r="B39" s="5" t="s">
        <v>127</v>
      </c>
      <c r="C39" s="5">
        <v>15</v>
      </c>
      <c r="D39" s="17">
        <v>2000</v>
      </c>
      <c r="E39" s="17">
        <f t="shared" si="0"/>
        <v>30000</v>
      </c>
    </row>
    <row r="40" spans="1:8" x14ac:dyDescent="0.35">
      <c r="A40" s="13">
        <f t="shared" si="2"/>
        <v>43136</v>
      </c>
      <c r="B40" s="5" t="s">
        <v>66</v>
      </c>
      <c r="C40" s="5">
        <v>1</v>
      </c>
      <c r="D40" s="17">
        <v>15000</v>
      </c>
      <c r="E40" s="17">
        <f t="shared" si="0"/>
        <v>15000</v>
      </c>
    </row>
    <row r="41" spans="1:8" x14ac:dyDescent="0.35">
      <c r="A41" s="13">
        <f t="shared" si="2"/>
        <v>43136</v>
      </c>
      <c r="B41" s="5" t="s">
        <v>190</v>
      </c>
      <c r="C41" s="5">
        <v>1</v>
      </c>
      <c r="D41" s="17">
        <v>59000</v>
      </c>
      <c r="E41" s="17">
        <f t="shared" si="0"/>
        <v>59000</v>
      </c>
    </row>
    <row r="42" spans="1:8" x14ac:dyDescent="0.35">
      <c r="A42" s="13">
        <f t="shared" si="2"/>
        <v>43136</v>
      </c>
      <c r="B42" s="5" t="s">
        <v>199</v>
      </c>
      <c r="C42" s="5">
        <v>4</v>
      </c>
      <c r="D42" s="17">
        <v>46000</v>
      </c>
      <c r="E42" s="17">
        <f t="shared" si="0"/>
        <v>184000</v>
      </c>
    </row>
    <row r="43" spans="1:8" x14ac:dyDescent="0.35">
      <c r="A43" s="13">
        <f t="shared" si="2"/>
        <v>43136</v>
      </c>
      <c r="B43" s="5" t="s">
        <v>109</v>
      </c>
      <c r="C43" s="5">
        <v>11</v>
      </c>
      <c r="D43" s="17">
        <v>38000</v>
      </c>
      <c r="E43" s="17">
        <f t="shared" si="0"/>
        <v>418000</v>
      </c>
    </row>
    <row r="44" spans="1:8" x14ac:dyDescent="0.35">
      <c r="A44" s="13">
        <f t="shared" si="2"/>
        <v>43136</v>
      </c>
      <c r="B44" s="5" t="s">
        <v>200</v>
      </c>
      <c r="C44" s="5">
        <v>2</v>
      </c>
      <c r="D44" s="17">
        <v>46000</v>
      </c>
      <c r="E44" s="17">
        <f t="shared" si="0"/>
        <v>92000</v>
      </c>
    </row>
    <row r="45" spans="1:8" x14ac:dyDescent="0.35">
      <c r="A45" s="13">
        <f t="shared" si="2"/>
        <v>43136</v>
      </c>
      <c r="B45" s="5" t="s">
        <v>4</v>
      </c>
      <c r="C45" s="5">
        <v>3</v>
      </c>
      <c r="D45" s="17">
        <v>38000</v>
      </c>
      <c r="E45" s="17">
        <f t="shared" si="0"/>
        <v>114000</v>
      </c>
    </row>
    <row r="46" spans="1:8" x14ac:dyDescent="0.35">
      <c r="A46" s="13">
        <f t="shared" si="2"/>
        <v>43136</v>
      </c>
      <c r="B46" s="5" t="s">
        <v>201</v>
      </c>
      <c r="C46" s="5">
        <v>3</v>
      </c>
      <c r="D46" s="17">
        <v>46000</v>
      </c>
      <c r="E46" s="17">
        <f t="shared" si="0"/>
        <v>138000</v>
      </c>
    </row>
    <row r="47" spans="1:8" x14ac:dyDescent="0.35">
      <c r="A47" s="13">
        <f t="shared" si="2"/>
        <v>43136</v>
      </c>
      <c r="B47" s="5" t="s">
        <v>202</v>
      </c>
      <c r="C47" s="5">
        <v>1</v>
      </c>
      <c r="D47" s="17">
        <v>43000</v>
      </c>
      <c r="E47" s="17">
        <f t="shared" si="0"/>
        <v>43000</v>
      </c>
    </row>
    <row r="48" spans="1:8" x14ac:dyDescent="0.35">
      <c r="A48" s="13">
        <f t="shared" si="2"/>
        <v>43136</v>
      </c>
      <c r="B48" s="5" t="s">
        <v>203</v>
      </c>
      <c r="C48" s="5">
        <v>6</v>
      </c>
      <c r="D48" s="17">
        <v>55000</v>
      </c>
      <c r="E48" s="17">
        <f t="shared" si="0"/>
        <v>330000</v>
      </c>
    </row>
    <row r="49" spans="1:5" x14ac:dyDescent="0.35">
      <c r="A49" s="13">
        <f t="shared" si="2"/>
        <v>43136</v>
      </c>
      <c r="B49" s="5" t="s">
        <v>204</v>
      </c>
      <c r="C49" s="5">
        <v>3</v>
      </c>
      <c r="D49" s="17">
        <v>50000</v>
      </c>
      <c r="E49" s="17">
        <f t="shared" si="0"/>
        <v>150000</v>
      </c>
    </row>
    <row r="50" spans="1:5" x14ac:dyDescent="0.35">
      <c r="A50" s="13">
        <f t="shared" si="2"/>
        <v>43136</v>
      </c>
      <c r="B50" s="5" t="s">
        <v>82</v>
      </c>
      <c r="C50" s="5">
        <v>10</v>
      </c>
      <c r="D50" s="17">
        <v>2000</v>
      </c>
      <c r="E50" s="17">
        <f t="shared" si="0"/>
        <v>20000</v>
      </c>
    </row>
    <row r="51" spans="1:5" x14ac:dyDescent="0.35">
      <c r="A51" s="13">
        <f t="shared" si="2"/>
        <v>43136</v>
      </c>
      <c r="B51" s="5" t="s">
        <v>205</v>
      </c>
      <c r="C51" s="5">
        <v>1</v>
      </c>
      <c r="D51" s="17">
        <v>46000</v>
      </c>
      <c r="E51" s="17">
        <f t="shared" si="0"/>
        <v>46000</v>
      </c>
    </row>
    <row r="52" spans="1:5" x14ac:dyDescent="0.35">
      <c r="A52" s="13">
        <f t="shared" si="2"/>
        <v>43136</v>
      </c>
      <c r="B52" s="5" t="s">
        <v>206</v>
      </c>
      <c r="C52" s="5">
        <v>1</v>
      </c>
      <c r="D52" s="17">
        <v>48000</v>
      </c>
      <c r="E52" s="17">
        <f t="shared" si="0"/>
        <v>48000</v>
      </c>
    </row>
    <row r="53" spans="1:5" x14ac:dyDescent="0.35">
      <c r="A53" s="13">
        <f t="shared" si="2"/>
        <v>43136</v>
      </c>
      <c r="B53" s="5" t="s">
        <v>60</v>
      </c>
      <c r="C53" s="5">
        <v>3</v>
      </c>
      <c r="D53" s="17">
        <v>48000</v>
      </c>
      <c r="E53" s="17">
        <f t="shared" si="0"/>
        <v>144000</v>
      </c>
    </row>
    <row r="54" spans="1:5" x14ac:dyDescent="0.35">
      <c r="E54" s="17">
        <f t="shared" si="0"/>
        <v>0</v>
      </c>
    </row>
    <row r="55" spans="1:5" x14ac:dyDescent="0.35">
      <c r="A55" s="13">
        <v>43137</v>
      </c>
      <c r="B55" s="5" t="s">
        <v>207</v>
      </c>
      <c r="C55" s="5">
        <v>2</v>
      </c>
      <c r="D55" s="17">
        <v>48500</v>
      </c>
      <c r="E55" s="17">
        <f t="shared" si="0"/>
        <v>97000</v>
      </c>
    </row>
    <row r="56" spans="1:5" x14ac:dyDescent="0.35">
      <c r="A56" s="13">
        <f>$A$55</f>
        <v>43137</v>
      </c>
      <c r="B56" s="5" t="s">
        <v>208</v>
      </c>
      <c r="C56" s="5">
        <v>36</v>
      </c>
      <c r="D56" s="17">
        <v>34000</v>
      </c>
      <c r="E56" s="17">
        <f t="shared" si="0"/>
        <v>1224000</v>
      </c>
    </row>
    <row r="57" spans="1:5" x14ac:dyDescent="0.35">
      <c r="A57" s="13">
        <f t="shared" ref="A57:A66" si="3">$A$55</f>
        <v>43137</v>
      </c>
      <c r="B57" s="5" t="s">
        <v>4</v>
      </c>
      <c r="C57" s="5">
        <v>36</v>
      </c>
      <c r="D57" s="17">
        <v>34000</v>
      </c>
      <c r="E57" s="17">
        <f t="shared" si="0"/>
        <v>1224000</v>
      </c>
    </row>
    <row r="58" spans="1:5" x14ac:dyDescent="0.35">
      <c r="A58" s="13">
        <f t="shared" si="3"/>
        <v>43137</v>
      </c>
      <c r="B58" s="5" t="s">
        <v>209</v>
      </c>
      <c r="C58" s="5">
        <v>2</v>
      </c>
      <c r="D58" s="17">
        <v>52000</v>
      </c>
      <c r="E58" s="17">
        <f t="shared" si="0"/>
        <v>104000</v>
      </c>
    </row>
    <row r="59" spans="1:5" x14ac:dyDescent="0.35">
      <c r="A59" s="13">
        <f t="shared" si="3"/>
        <v>43137</v>
      </c>
      <c r="B59" s="5" t="s">
        <v>210</v>
      </c>
      <c r="C59" s="5">
        <v>9</v>
      </c>
      <c r="D59" s="17">
        <v>56000</v>
      </c>
      <c r="E59" s="17">
        <f t="shared" si="0"/>
        <v>504000</v>
      </c>
    </row>
    <row r="60" spans="1:5" x14ac:dyDescent="0.35">
      <c r="A60" s="13">
        <f t="shared" si="3"/>
        <v>43137</v>
      </c>
      <c r="B60" s="5" t="s">
        <v>211</v>
      </c>
      <c r="C60" s="5">
        <v>25</v>
      </c>
      <c r="D60" s="17">
        <v>8500</v>
      </c>
      <c r="E60" s="17">
        <f t="shared" si="0"/>
        <v>212500</v>
      </c>
    </row>
    <row r="61" spans="1:5" x14ac:dyDescent="0.35">
      <c r="A61" s="13">
        <f t="shared" si="3"/>
        <v>43137</v>
      </c>
      <c r="B61" s="5" t="s">
        <v>152</v>
      </c>
      <c r="C61" s="5">
        <v>1</v>
      </c>
      <c r="D61" s="17">
        <v>57000</v>
      </c>
      <c r="E61" s="17">
        <f t="shared" si="0"/>
        <v>57000</v>
      </c>
    </row>
    <row r="62" spans="1:5" x14ac:dyDescent="0.35">
      <c r="A62" s="13">
        <f t="shared" si="3"/>
        <v>43137</v>
      </c>
      <c r="B62" s="5" t="s">
        <v>95</v>
      </c>
      <c r="C62" s="5">
        <v>1</v>
      </c>
      <c r="D62" s="17">
        <v>50000</v>
      </c>
      <c r="E62" s="17">
        <f t="shared" si="0"/>
        <v>50000</v>
      </c>
    </row>
    <row r="63" spans="1:5" x14ac:dyDescent="0.35">
      <c r="A63" s="13">
        <f t="shared" si="3"/>
        <v>43137</v>
      </c>
      <c r="B63" s="5" t="s">
        <v>212</v>
      </c>
      <c r="C63" s="5">
        <v>2</v>
      </c>
      <c r="D63" s="17">
        <v>45000</v>
      </c>
      <c r="E63" s="17">
        <f t="shared" si="0"/>
        <v>90000</v>
      </c>
    </row>
    <row r="64" spans="1:5" x14ac:dyDescent="0.35">
      <c r="A64" s="13">
        <f t="shared" si="3"/>
        <v>43137</v>
      </c>
      <c r="B64" s="5" t="s">
        <v>200</v>
      </c>
      <c r="C64" s="5">
        <v>2</v>
      </c>
      <c r="D64" s="17">
        <v>42500</v>
      </c>
      <c r="E64" s="17">
        <f t="shared" si="0"/>
        <v>85000</v>
      </c>
    </row>
    <row r="65" spans="1:5" x14ac:dyDescent="0.35">
      <c r="A65" s="13">
        <f t="shared" si="3"/>
        <v>43137</v>
      </c>
      <c r="B65" s="5" t="s">
        <v>25</v>
      </c>
      <c r="C65" s="5">
        <v>15</v>
      </c>
      <c r="D65" s="17">
        <v>53000</v>
      </c>
      <c r="E65" s="17">
        <f t="shared" si="0"/>
        <v>795000</v>
      </c>
    </row>
    <row r="66" spans="1:5" x14ac:dyDescent="0.35">
      <c r="A66" s="13">
        <f t="shared" si="3"/>
        <v>43137</v>
      </c>
      <c r="B66" s="5" t="s">
        <v>157</v>
      </c>
      <c r="C66" s="5">
        <v>1</v>
      </c>
      <c r="D66" s="17">
        <v>57000</v>
      </c>
      <c r="E66" s="17">
        <f t="shared" si="0"/>
        <v>57000</v>
      </c>
    </row>
    <row r="67" spans="1:5" x14ac:dyDescent="0.35">
      <c r="E67" s="17">
        <f t="shared" si="0"/>
        <v>0</v>
      </c>
    </row>
    <row r="68" spans="1:5" x14ac:dyDescent="0.35">
      <c r="A68" s="13">
        <v>43138</v>
      </c>
      <c r="B68" s="5" t="s">
        <v>214</v>
      </c>
      <c r="C68" s="5">
        <v>2</v>
      </c>
      <c r="D68" s="17">
        <v>46000</v>
      </c>
      <c r="E68" s="17">
        <f t="shared" si="0"/>
        <v>92000</v>
      </c>
    </row>
    <row r="69" spans="1:5" x14ac:dyDescent="0.35">
      <c r="A69" s="13">
        <f>$A$68</f>
        <v>43138</v>
      </c>
      <c r="B69" s="5" t="s">
        <v>3</v>
      </c>
      <c r="C69" s="5">
        <v>4</v>
      </c>
      <c r="D69" s="17">
        <v>55000</v>
      </c>
      <c r="E69" s="17">
        <f t="shared" si="0"/>
        <v>220000</v>
      </c>
    </row>
    <row r="70" spans="1:5" x14ac:dyDescent="0.35">
      <c r="A70" s="13">
        <f t="shared" ref="A70:A84" si="4">$A$68</f>
        <v>43138</v>
      </c>
      <c r="B70" s="5" t="s">
        <v>215</v>
      </c>
      <c r="C70" s="5">
        <v>15</v>
      </c>
      <c r="D70" s="17">
        <v>46000</v>
      </c>
      <c r="E70" s="17">
        <f t="shared" si="0"/>
        <v>690000</v>
      </c>
    </row>
    <row r="71" spans="1:5" x14ac:dyDescent="0.35">
      <c r="A71" s="13">
        <f t="shared" si="4"/>
        <v>43138</v>
      </c>
      <c r="B71" s="5" t="s">
        <v>22</v>
      </c>
      <c r="C71" s="5">
        <v>5</v>
      </c>
      <c r="D71" s="17">
        <v>46000</v>
      </c>
      <c r="E71" s="17">
        <f t="shared" si="0"/>
        <v>230000</v>
      </c>
    </row>
    <row r="72" spans="1:5" x14ac:dyDescent="0.35">
      <c r="A72" s="13">
        <f t="shared" si="4"/>
        <v>43138</v>
      </c>
      <c r="B72" s="5" t="s">
        <v>216</v>
      </c>
      <c r="C72" s="5">
        <v>3</v>
      </c>
      <c r="D72" s="17">
        <v>38000</v>
      </c>
      <c r="E72" s="17">
        <f t="shared" si="0"/>
        <v>114000</v>
      </c>
    </row>
    <row r="73" spans="1:5" x14ac:dyDescent="0.35">
      <c r="A73" s="13">
        <f t="shared" si="4"/>
        <v>43138</v>
      </c>
      <c r="B73" s="5" t="s">
        <v>217</v>
      </c>
      <c r="C73" s="5">
        <v>2</v>
      </c>
      <c r="D73" s="17">
        <v>10000</v>
      </c>
      <c r="E73" s="17">
        <f t="shared" si="0"/>
        <v>20000</v>
      </c>
    </row>
    <row r="74" spans="1:5" x14ac:dyDescent="0.35">
      <c r="A74" s="13">
        <f t="shared" si="4"/>
        <v>43138</v>
      </c>
      <c r="B74" s="5" t="s">
        <v>136</v>
      </c>
      <c r="C74" s="5">
        <v>2</v>
      </c>
      <c r="D74" s="17">
        <v>57000</v>
      </c>
      <c r="E74" s="17">
        <f t="shared" si="0"/>
        <v>114000</v>
      </c>
    </row>
    <row r="75" spans="1:5" x14ac:dyDescent="0.35">
      <c r="A75" s="13">
        <f t="shared" si="4"/>
        <v>43138</v>
      </c>
      <c r="B75" s="5" t="s">
        <v>218</v>
      </c>
      <c r="C75" s="5">
        <v>2</v>
      </c>
      <c r="D75" s="17">
        <v>50000</v>
      </c>
      <c r="E75" s="17">
        <f t="shared" si="0"/>
        <v>100000</v>
      </c>
    </row>
    <row r="76" spans="1:5" x14ac:dyDescent="0.35">
      <c r="A76" s="13">
        <f t="shared" si="4"/>
        <v>43138</v>
      </c>
      <c r="B76" s="5" t="s">
        <v>32</v>
      </c>
      <c r="C76" s="5">
        <v>18</v>
      </c>
      <c r="D76" s="17">
        <v>43000</v>
      </c>
      <c r="E76" s="17">
        <f t="shared" si="0"/>
        <v>774000</v>
      </c>
    </row>
    <row r="77" spans="1:5" x14ac:dyDescent="0.35">
      <c r="A77" s="13">
        <f t="shared" si="4"/>
        <v>43138</v>
      </c>
      <c r="B77" s="5" t="s">
        <v>34</v>
      </c>
      <c r="C77" s="5">
        <v>3</v>
      </c>
      <c r="D77" s="17">
        <v>46000</v>
      </c>
      <c r="E77" s="17">
        <f t="shared" si="0"/>
        <v>138000</v>
      </c>
    </row>
    <row r="78" spans="1:5" x14ac:dyDescent="0.35">
      <c r="A78" s="13">
        <f t="shared" si="4"/>
        <v>43138</v>
      </c>
      <c r="B78" s="5" t="s">
        <v>212</v>
      </c>
      <c r="C78" s="5">
        <v>1</v>
      </c>
      <c r="D78" s="17">
        <v>44000</v>
      </c>
      <c r="E78" s="17">
        <f t="shared" si="0"/>
        <v>44000</v>
      </c>
    </row>
    <row r="79" spans="1:5" x14ac:dyDescent="0.35">
      <c r="A79" s="13">
        <f t="shared" si="4"/>
        <v>43138</v>
      </c>
      <c r="B79" s="5" t="s">
        <v>203</v>
      </c>
      <c r="C79" s="5">
        <v>7</v>
      </c>
      <c r="D79" s="17">
        <v>55000</v>
      </c>
      <c r="E79" s="17">
        <f t="shared" si="0"/>
        <v>385000</v>
      </c>
    </row>
    <row r="80" spans="1:5" x14ac:dyDescent="0.35">
      <c r="A80" s="13">
        <f t="shared" si="4"/>
        <v>43138</v>
      </c>
      <c r="B80" s="5" t="s">
        <v>219</v>
      </c>
      <c r="C80" s="5">
        <v>1</v>
      </c>
      <c r="D80" s="17">
        <v>14000</v>
      </c>
      <c r="E80" s="17">
        <f t="shared" si="0"/>
        <v>14000</v>
      </c>
    </row>
    <row r="81" spans="1:5" x14ac:dyDescent="0.35">
      <c r="A81" s="13">
        <f t="shared" si="4"/>
        <v>43138</v>
      </c>
      <c r="B81" s="5" t="s">
        <v>38</v>
      </c>
      <c r="C81" s="5">
        <v>9</v>
      </c>
      <c r="D81" s="17">
        <v>50000</v>
      </c>
      <c r="E81" s="17">
        <f t="shared" si="0"/>
        <v>450000</v>
      </c>
    </row>
    <row r="82" spans="1:5" x14ac:dyDescent="0.35">
      <c r="A82" s="13">
        <f t="shared" si="4"/>
        <v>43138</v>
      </c>
      <c r="B82" s="5" t="s">
        <v>197</v>
      </c>
      <c r="C82" s="5">
        <v>20</v>
      </c>
      <c r="D82" s="17">
        <v>1600</v>
      </c>
      <c r="E82" s="17">
        <f t="shared" si="0"/>
        <v>32000</v>
      </c>
    </row>
    <row r="83" spans="1:5" x14ac:dyDescent="0.35">
      <c r="A83" s="13">
        <f t="shared" si="4"/>
        <v>43138</v>
      </c>
      <c r="B83" s="5" t="s">
        <v>25</v>
      </c>
      <c r="C83" s="5">
        <v>2</v>
      </c>
      <c r="D83" s="17">
        <v>53000</v>
      </c>
      <c r="E83" s="17">
        <f t="shared" si="0"/>
        <v>106000</v>
      </c>
    </row>
    <row r="84" spans="1:5" x14ac:dyDescent="0.35">
      <c r="A84" s="13">
        <f t="shared" si="4"/>
        <v>43138</v>
      </c>
      <c r="B84" s="5" t="s">
        <v>220</v>
      </c>
      <c r="C84" s="5">
        <v>6</v>
      </c>
      <c r="D84" s="17">
        <v>46000</v>
      </c>
      <c r="E84" s="17">
        <f t="shared" si="0"/>
        <v>276000</v>
      </c>
    </row>
    <row r="85" spans="1:5" x14ac:dyDescent="0.35">
      <c r="E85" s="17">
        <f t="shared" si="0"/>
        <v>0</v>
      </c>
    </row>
    <row r="86" spans="1:5" x14ac:dyDescent="0.35">
      <c r="A86" s="13">
        <v>43139</v>
      </c>
      <c r="B86" s="5" t="s">
        <v>73</v>
      </c>
      <c r="C86" s="5">
        <v>2</v>
      </c>
      <c r="D86" s="17">
        <v>43500</v>
      </c>
      <c r="E86" s="17">
        <f t="shared" ref="E86:E149" si="5">D86*C86</f>
        <v>87000</v>
      </c>
    </row>
    <row r="87" spans="1:5" x14ac:dyDescent="0.35">
      <c r="A87" s="13">
        <f>$A$86</f>
        <v>43139</v>
      </c>
      <c r="B87" s="5" t="s">
        <v>74</v>
      </c>
      <c r="C87" s="5">
        <v>4</v>
      </c>
      <c r="D87" s="17">
        <v>1600</v>
      </c>
      <c r="E87" s="17">
        <f t="shared" si="5"/>
        <v>6400</v>
      </c>
    </row>
    <row r="88" spans="1:5" x14ac:dyDescent="0.35">
      <c r="A88" s="13">
        <f t="shared" ref="A88:A95" si="6">$A$86</f>
        <v>43139</v>
      </c>
      <c r="B88" s="5" t="s">
        <v>199</v>
      </c>
      <c r="C88" s="5">
        <v>2</v>
      </c>
      <c r="D88" s="17">
        <v>46000</v>
      </c>
      <c r="E88" s="17">
        <f t="shared" si="5"/>
        <v>92000</v>
      </c>
    </row>
    <row r="89" spans="1:5" x14ac:dyDescent="0.35">
      <c r="A89" s="13">
        <f t="shared" si="6"/>
        <v>43139</v>
      </c>
      <c r="B89" s="5" t="s">
        <v>4</v>
      </c>
      <c r="C89" s="5">
        <v>1</v>
      </c>
      <c r="D89" s="17">
        <v>38000</v>
      </c>
      <c r="E89" s="17">
        <f t="shared" si="5"/>
        <v>38000</v>
      </c>
    </row>
    <row r="90" spans="1:5" x14ac:dyDescent="0.35">
      <c r="A90" s="13">
        <f t="shared" si="6"/>
        <v>43139</v>
      </c>
      <c r="B90" s="5" t="s">
        <v>110</v>
      </c>
      <c r="C90" s="5">
        <v>1</v>
      </c>
      <c r="D90" s="17">
        <v>49000</v>
      </c>
      <c r="E90" s="17">
        <f t="shared" si="5"/>
        <v>49000</v>
      </c>
    </row>
    <row r="91" spans="1:5" x14ac:dyDescent="0.35">
      <c r="A91" s="13">
        <f t="shared" si="6"/>
        <v>43139</v>
      </c>
      <c r="B91" s="5" t="s">
        <v>188</v>
      </c>
      <c r="C91" s="5">
        <v>3</v>
      </c>
      <c r="D91" s="17">
        <v>46000</v>
      </c>
      <c r="E91" s="17">
        <f t="shared" si="5"/>
        <v>138000</v>
      </c>
    </row>
    <row r="92" spans="1:5" x14ac:dyDescent="0.35">
      <c r="A92" s="13">
        <f t="shared" si="6"/>
        <v>43139</v>
      </c>
      <c r="B92" s="5" t="s">
        <v>169</v>
      </c>
      <c r="C92" s="5">
        <v>12</v>
      </c>
      <c r="D92" s="17">
        <v>56000</v>
      </c>
      <c r="E92" s="17">
        <f t="shared" si="5"/>
        <v>672000</v>
      </c>
    </row>
    <row r="93" spans="1:5" x14ac:dyDescent="0.35">
      <c r="A93" s="13">
        <f t="shared" si="6"/>
        <v>43139</v>
      </c>
      <c r="B93" s="5" t="s">
        <v>85</v>
      </c>
      <c r="C93" s="5">
        <v>30</v>
      </c>
      <c r="D93" s="17">
        <v>42000</v>
      </c>
      <c r="E93" s="17">
        <f t="shared" si="5"/>
        <v>1260000</v>
      </c>
    </row>
    <row r="94" spans="1:5" x14ac:dyDescent="0.35">
      <c r="A94" s="13">
        <f t="shared" si="6"/>
        <v>43139</v>
      </c>
      <c r="B94" s="5" t="s">
        <v>221</v>
      </c>
      <c r="C94" s="5">
        <v>1</v>
      </c>
      <c r="D94" s="17">
        <v>57000</v>
      </c>
      <c r="E94" s="17">
        <f t="shared" si="5"/>
        <v>57000</v>
      </c>
    </row>
    <row r="95" spans="1:5" x14ac:dyDescent="0.35">
      <c r="A95" s="13">
        <f t="shared" si="6"/>
        <v>43139</v>
      </c>
      <c r="B95" s="5" t="s">
        <v>166</v>
      </c>
      <c r="C95" s="5">
        <v>2</v>
      </c>
      <c r="D95" s="17">
        <v>46000</v>
      </c>
      <c r="E95" s="17">
        <f t="shared" si="5"/>
        <v>92000</v>
      </c>
    </row>
    <row r="96" spans="1:5" x14ac:dyDescent="0.35">
      <c r="E96" s="17">
        <f t="shared" si="5"/>
        <v>0</v>
      </c>
    </row>
    <row r="97" spans="1:5" x14ac:dyDescent="0.35">
      <c r="A97" s="13">
        <v>43140</v>
      </c>
      <c r="B97" s="5" t="s">
        <v>85</v>
      </c>
      <c r="C97" s="5">
        <v>3</v>
      </c>
      <c r="D97" s="17">
        <v>45000</v>
      </c>
      <c r="E97" s="17">
        <f t="shared" si="5"/>
        <v>135000</v>
      </c>
    </row>
    <row r="98" spans="1:5" x14ac:dyDescent="0.35">
      <c r="A98" s="13">
        <f>$A$97</f>
        <v>43140</v>
      </c>
      <c r="B98" s="5" t="s">
        <v>191</v>
      </c>
      <c r="C98" s="5">
        <v>4</v>
      </c>
      <c r="D98" s="17">
        <v>49000</v>
      </c>
      <c r="E98" s="17">
        <f t="shared" si="5"/>
        <v>196000</v>
      </c>
    </row>
    <row r="99" spans="1:5" x14ac:dyDescent="0.35">
      <c r="A99" s="13">
        <f t="shared" ref="A99:A112" si="7">$A$97</f>
        <v>43140</v>
      </c>
      <c r="B99" s="5" t="s">
        <v>222</v>
      </c>
      <c r="C99" s="5">
        <v>6</v>
      </c>
      <c r="D99" s="17">
        <v>51000</v>
      </c>
      <c r="E99" s="17">
        <f t="shared" si="5"/>
        <v>306000</v>
      </c>
    </row>
    <row r="100" spans="1:5" x14ac:dyDescent="0.35">
      <c r="A100" s="13">
        <f t="shared" si="7"/>
        <v>43140</v>
      </c>
      <c r="B100" s="5" t="s">
        <v>226</v>
      </c>
      <c r="C100" s="5">
        <v>4</v>
      </c>
      <c r="D100" s="17">
        <v>50000</v>
      </c>
      <c r="E100" s="17">
        <f t="shared" si="5"/>
        <v>200000</v>
      </c>
    </row>
    <row r="101" spans="1:5" x14ac:dyDescent="0.35">
      <c r="A101" s="13">
        <f t="shared" si="7"/>
        <v>43140</v>
      </c>
      <c r="B101" s="5" t="s">
        <v>162</v>
      </c>
      <c r="C101" s="5">
        <v>2</v>
      </c>
      <c r="D101" s="17">
        <v>50000</v>
      </c>
      <c r="E101" s="17">
        <f t="shared" si="5"/>
        <v>100000</v>
      </c>
    </row>
    <row r="102" spans="1:5" x14ac:dyDescent="0.35">
      <c r="A102" s="13">
        <f t="shared" si="7"/>
        <v>43140</v>
      </c>
      <c r="B102" s="5" t="s">
        <v>223</v>
      </c>
      <c r="C102" s="5">
        <v>10</v>
      </c>
      <c r="D102" s="17">
        <v>3500</v>
      </c>
      <c r="E102" s="17">
        <f t="shared" si="5"/>
        <v>35000</v>
      </c>
    </row>
    <row r="103" spans="1:5" x14ac:dyDescent="0.35">
      <c r="A103" s="13">
        <f t="shared" si="7"/>
        <v>43140</v>
      </c>
      <c r="B103" s="5" t="s">
        <v>4</v>
      </c>
      <c r="C103" s="5">
        <v>3</v>
      </c>
      <c r="D103" s="17">
        <v>38000</v>
      </c>
      <c r="E103" s="17">
        <f t="shared" si="5"/>
        <v>114000</v>
      </c>
    </row>
    <row r="104" spans="1:5" x14ac:dyDescent="0.35">
      <c r="A104" s="13">
        <f t="shared" si="7"/>
        <v>43140</v>
      </c>
      <c r="B104" s="5" t="s">
        <v>4</v>
      </c>
      <c r="C104" s="5">
        <v>2</v>
      </c>
      <c r="D104" s="17">
        <v>38000</v>
      </c>
      <c r="E104" s="17">
        <f t="shared" si="5"/>
        <v>76000</v>
      </c>
    </row>
    <row r="105" spans="1:5" x14ac:dyDescent="0.35">
      <c r="A105" s="13">
        <f t="shared" si="7"/>
        <v>43140</v>
      </c>
      <c r="B105" s="5" t="s">
        <v>24</v>
      </c>
      <c r="C105" s="5">
        <v>1</v>
      </c>
      <c r="D105" s="17">
        <v>58000</v>
      </c>
      <c r="E105" s="17">
        <f t="shared" si="5"/>
        <v>58000</v>
      </c>
    </row>
    <row r="106" spans="1:5" x14ac:dyDescent="0.35">
      <c r="A106" s="13">
        <f t="shared" si="7"/>
        <v>43140</v>
      </c>
      <c r="B106" s="5" t="s">
        <v>224</v>
      </c>
      <c r="C106" s="5">
        <v>8</v>
      </c>
      <c r="D106" s="17">
        <v>52500</v>
      </c>
      <c r="E106" s="17">
        <f t="shared" si="5"/>
        <v>420000</v>
      </c>
    </row>
    <row r="107" spans="1:5" x14ac:dyDescent="0.35">
      <c r="A107" s="13">
        <f t="shared" si="7"/>
        <v>43140</v>
      </c>
      <c r="B107" s="5" t="s">
        <v>225</v>
      </c>
      <c r="C107" s="5">
        <v>5</v>
      </c>
      <c r="D107" s="17">
        <v>56500</v>
      </c>
      <c r="E107" s="17">
        <f t="shared" si="5"/>
        <v>282500</v>
      </c>
    </row>
    <row r="108" spans="1:5" x14ac:dyDescent="0.35">
      <c r="A108" s="13">
        <f t="shared" si="7"/>
        <v>43140</v>
      </c>
      <c r="B108" s="5" t="s">
        <v>106</v>
      </c>
      <c r="C108" s="5">
        <v>20</v>
      </c>
      <c r="D108" s="17">
        <v>1600</v>
      </c>
      <c r="E108" s="17">
        <f t="shared" si="5"/>
        <v>32000</v>
      </c>
    </row>
    <row r="109" spans="1:5" x14ac:dyDescent="0.35">
      <c r="A109" s="13">
        <f t="shared" si="7"/>
        <v>43140</v>
      </c>
      <c r="B109" s="5" t="s">
        <v>159</v>
      </c>
      <c r="C109" s="5">
        <v>8</v>
      </c>
      <c r="D109" s="17">
        <v>53500</v>
      </c>
      <c r="E109" s="17">
        <f t="shared" si="5"/>
        <v>428000</v>
      </c>
    </row>
    <row r="110" spans="1:5" x14ac:dyDescent="0.35">
      <c r="A110" s="13">
        <f t="shared" si="7"/>
        <v>43140</v>
      </c>
      <c r="B110" s="5" t="s">
        <v>135</v>
      </c>
      <c r="C110" s="5">
        <v>3</v>
      </c>
      <c r="D110" s="17">
        <v>50000</v>
      </c>
      <c r="E110" s="17">
        <f t="shared" si="5"/>
        <v>150000</v>
      </c>
    </row>
    <row r="111" spans="1:5" x14ac:dyDescent="0.35">
      <c r="A111" s="13">
        <f t="shared" si="7"/>
        <v>43140</v>
      </c>
      <c r="B111" s="5" t="s">
        <v>3</v>
      </c>
      <c r="C111" s="5">
        <v>1</v>
      </c>
      <c r="D111" s="17">
        <v>56000</v>
      </c>
      <c r="E111" s="17">
        <f t="shared" si="5"/>
        <v>56000</v>
      </c>
    </row>
    <row r="112" spans="1:5" x14ac:dyDescent="0.35">
      <c r="A112" s="13">
        <f t="shared" si="7"/>
        <v>43140</v>
      </c>
      <c r="B112" s="5" t="s">
        <v>227</v>
      </c>
      <c r="C112" s="5">
        <v>1</v>
      </c>
      <c r="D112" s="17">
        <v>38000</v>
      </c>
      <c r="E112" s="17">
        <f t="shared" si="5"/>
        <v>38000</v>
      </c>
    </row>
    <row r="113" spans="1:5" x14ac:dyDescent="0.35">
      <c r="E113" s="17">
        <f t="shared" si="5"/>
        <v>0</v>
      </c>
    </row>
    <row r="114" spans="1:5" x14ac:dyDescent="0.35">
      <c r="A114" s="13">
        <v>43140</v>
      </c>
      <c r="B114" s="5" t="s">
        <v>224</v>
      </c>
      <c r="C114" s="5">
        <v>2</v>
      </c>
      <c r="D114" s="17">
        <v>52000</v>
      </c>
      <c r="E114" s="17">
        <f t="shared" si="5"/>
        <v>104000</v>
      </c>
    </row>
    <row r="115" spans="1:5" x14ac:dyDescent="0.35">
      <c r="A115" s="13">
        <f>$A$114</f>
        <v>43140</v>
      </c>
      <c r="B115" s="5" t="s">
        <v>187</v>
      </c>
      <c r="C115" s="5">
        <v>1</v>
      </c>
      <c r="D115" s="17">
        <v>46000</v>
      </c>
      <c r="E115" s="17">
        <f t="shared" si="5"/>
        <v>46000</v>
      </c>
    </row>
    <row r="116" spans="1:5" x14ac:dyDescent="0.35">
      <c r="A116" s="13">
        <f t="shared" ref="A116:A123" si="8">$A$114</f>
        <v>43140</v>
      </c>
      <c r="B116" s="5" t="s">
        <v>7</v>
      </c>
      <c r="C116" s="5">
        <v>36</v>
      </c>
      <c r="D116" s="17">
        <v>34000</v>
      </c>
      <c r="E116" s="17">
        <f t="shared" si="5"/>
        <v>1224000</v>
      </c>
    </row>
    <row r="117" spans="1:5" x14ac:dyDescent="0.35">
      <c r="A117" s="13">
        <f t="shared" si="8"/>
        <v>43140</v>
      </c>
      <c r="B117" s="5" t="s">
        <v>4</v>
      </c>
      <c r="C117" s="5">
        <v>10</v>
      </c>
      <c r="D117" s="17">
        <v>38000</v>
      </c>
      <c r="E117" s="17">
        <f t="shared" si="5"/>
        <v>380000</v>
      </c>
    </row>
    <row r="118" spans="1:5" x14ac:dyDescent="0.35">
      <c r="A118" s="13">
        <f t="shared" si="8"/>
        <v>43140</v>
      </c>
      <c r="B118" s="5" t="s">
        <v>228</v>
      </c>
      <c r="C118" s="5">
        <v>1</v>
      </c>
      <c r="D118" s="17">
        <v>50000</v>
      </c>
      <c r="E118" s="17">
        <f t="shared" si="5"/>
        <v>50000</v>
      </c>
    </row>
    <row r="119" spans="1:5" x14ac:dyDescent="0.35">
      <c r="A119" s="13">
        <f t="shared" si="8"/>
        <v>43140</v>
      </c>
      <c r="B119" s="5" t="s">
        <v>229</v>
      </c>
      <c r="C119" s="5">
        <v>3</v>
      </c>
      <c r="D119" s="17">
        <v>12000</v>
      </c>
      <c r="E119" s="17">
        <f t="shared" si="5"/>
        <v>36000</v>
      </c>
    </row>
    <row r="120" spans="1:5" x14ac:dyDescent="0.35">
      <c r="A120" s="13">
        <f t="shared" si="8"/>
        <v>43140</v>
      </c>
      <c r="B120" s="5" t="s">
        <v>199</v>
      </c>
      <c r="C120" s="5">
        <v>8</v>
      </c>
      <c r="D120" s="17">
        <v>43000</v>
      </c>
      <c r="E120" s="17">
        <f t="shared" si="5"/>
        <v>344000</v>
      </c>
    </row>
    <row r="121" spans="1:5" x14ac:dyDescent="0.35">
      <c r="A121" s="13">
        <f t="shared" si="8"/>
        <v>43140</v>
      </c>
      <c r="B121" s="5" t="s">
        <v>223</v>
      </c>
      <c r="C121" s="5">
        <v>10</v>
      </c>
      <c r="D121" s="17">
        <v>2500</v>
      </c>
      <c r="E121" s="17">
        <f t="shared" si="5"/>
        <v>25000</v>
      </c>
    </row>
    <row r="122" spans="1:5" x14ac:dyDescent="0.35">
      <c r="A122" s="13">
        <f t="shared" si="8"/>
        <v>43140</v>
      </c>
      <c r="B122" s="5" t="s">
        <v>230</v>
      </c>
      <c r="C122" s="5">
        <v>3</v>
      </c>
      <c r="D122" s="17">
        <v>38000</v>
      </c>
      <c r="E122" s="17">
        <f t="shared" si="5"/>
        <v>114000</v>
      </c>
    </row>
    <row r="123" spans="1:5" x14ac:dyDescent="0.35">
      <c r="A123" s="13">
        <f t="shared" si="8"/>
        <v>43140</v>
      </c>
      <c r="B123" s="5" t="s">
        <v>231</v>
      </c>
      <c r="C123" s="5">
        <v>3</v>
      </c>
      <c r="D123" s="17">
        <v>52000</v>
      </c>
      <c r="E123" s="17">
        <f t="shared" si="5"/>
        <v>156000</v>
      </c>
    </row>
    <row r="124" spans="1:5" x14ac:dyDescent="0.35">
      <c r="E124" s="17">
        <f t="shared" si="5"/>
        <v>0</v>
      </c>
    </row>
    <row r="125" spans="1:5" x14ac:dyDescent="0.35">
      <c r="A125" s="13">
        <v>43143</v>
      </c>
      <c r="B125" s="5" t="s">
        <v>4</v>
      </c>
      <c r="C125" s="5">
        <v>1</v>
      </c>
      <c r="D125" s="17">
        <v>38000</v>
      </c>
      <c r="E125" s="17">
        <f t="shared" si="5"/>
        <v>38000</v>
      </c>
    </row>
    <row r="126" spans="1:5" x14ac:dyDescent="0.35">
      <c r="A126" s="13">
        <f>$A$125</f>
        <v>43143</v>
      </c>
      <c r="B126" s="5" t="s">
        <v>118</v>
      </c>
      <c r="C126" s="5">
        <v>18</v>
      </c>
      <c r="D126" s="17">
        <v>45000</v>
      </c>
      <c r="E126" s="17">
        <f t="shared" si="5"/>
        <v>810000</v>
      </c>
    </row>
    <row r="127" spans="1:5" x14ac:dyDescent="0.35">
      <c r="A127" s="13">
        <f t="shared" ref="A127:A138" si="9">$A$125</f>
        <v>43143</v>
      </c>
      <c r="B127" s="5" t="s">
        <v>73</v>
      </c>
      <c r="C127" s="5">
        <v>12</v>
      </c>
      <c r="D127" s="17">
        <v>43500</v>
      </c>
      <c r="E127" s="17">
        <f t="shared" si="5"/>
        <v>522000</v>
      </c>
    </row>
    <row r="128" spans="1:5" x14ac:dyDescent="0.35">
      <c r="A128" s="13">
        <f t="shared" si="9"/>
        <v>43143</v>
      </c>
      <c r="B128" s="5" t="s">
        <v>125</v>
      </c>
      <c r="C128" s="5">
        <v>15</v>
      </c>
      <c r="D128" s="17">
        <v>37500</v>
      </c>
      <c r="E128" s="17">
        <f t="shared" si="5"/>
        <v>562500</v>
      </c>
    </row>
    <row r="129" spans="1:5" x14ac:dyDescent="0.35">
      <c r="A129" s="13">
        <f t="shared" si="9"/>
        <v>43143</v>
      </c>
      <c r="B129" s="5" t="s">
        <v>232</v>
      </c>
      <c r="C129" s="5">
        <v>31</v>
      </c>
      <c r="D129" s="17">
        <v>56000</v>
      </c>
      <c r="E129" s="17">
        <f t="shared" si="5"/>
        <v>1736000</v>
      </c>
    </row>
    <row r="130" spans="1:5" x14ac:dyDescent="0.35">
      <c r="A130" s="13">
        <f t="shared" si="9"/>
        <v>43143</v>
      </c>
      <c r="B130" s="5" t="s">
        <v>44</v>
      </c>
      <c r="C130" s="5">
        <v>1</v>
      </c>
      <c r="D130" s="17">
        <v>54000</v>
      </c>
      <c r="E130" s="17">
        <f t="shared" si="5"/>
        <v>54000</v>
      </c>
    </row>
    <row r="131" spans="1:5" x14ac:dyDescent="0.35">
      <c r="A131" s="13">
        <f t="shared" si="9"/>
        <v>43143</v>
      </c>
      <c r="B131" s="5" t="s">
        <v>151</v>
      </c>
      <c r="C131" s="5">
        <v>3</v>
      </c>
      <c r="D131" s="17">
        <v>46000</v>
      </c>
      <c r="E131" s="17">
        <f t="shared" si="5"/>
        <v>138000</v>
      </c>
    </row>
    <row r="132" spans="1:5" x14ac:dyDescent="0.35">
      <c r="A132" s="13">
        <f t="shared" si="9"/>
        <v>43143</v>
      </c>
      <c r="B132" s="5" t="s">
        <v>233</v>
      </c>
      <c r="C132" s="5">
        <v>15</v>
      </c>
      <c r="D132" s="17">
        <v>1500</v>
      </c>
      <c r="E132" s="17">
        <f t="shared" si="5"/>
        <v>22500</v>
      </c>
    </row>
    <row r="133" spans="1:5" x14ac:dyDescent="0.35">
      <c r="A133" s="13">
        <f t="shared" si="9"/>
        <v>43143</v>
      </c>
      <c r="B133" s="5" t="s">
        <v>4</v>
      </c>
      <c r="C133" s="5">
        <v>1</v>
      </c>
      <c r="D133" s="17">
        <v>38000</v>
      </c>
      <c r="E133" s="17">
        <f t="shared" si="5"/>
        <v>38000</v>
      </c>
    </row>
    <row r="134" spans="1:5" x14ac:dyDescent="0.35">
      <c r="A134" s="13">
        <f t="shared" si="9"/>
        <v>43143</v>
      </c>
      <c r="B134" s="5" t="s">
        <v>199</v>
      </c>
      <c r="C134" s="5">
        <v>2</v>
      </c>
      <c r="D134" s="17">
        <v>46000</v>
      </c>
      <c r="E134" s="17">
        <f t="shared" si="5"/>
        <v>92000</v>
      </c>
    </row>
    <row r="135" spans="1:5" x14ac:dyDescent="0.35">
      <c r="A135" s="13">
        <f t="shared" si="9"/>
        <v>43143</v>
      </c>
      <c r="B135" s="5" t="s">
        <v>234</v>
      </c>
      <c r="C135" s="5">
        <v>6</v>
      </c>
      <c r="D135" s="17">
        <v>1600</v>
      </c>
      <c r="E135" s="17">
        <f t="shared" si="5"/>
        <v>9600</v>
      </c>
    </row>
    <row r="136" spans="1:5" x14ac:dyDescent="0.35">
      <c r="A136" s="13">
        <f t="shared" si="9"/>
        <v>43143</v>
      </c>
      <c r="B136" s="5" t="s">
        <v>125</v>
      </c>
      <c r="C136" s="5">
        <v>1</v>
      </c>
      <c r="D136" s="17">
        <v>38000</v>
      </c>
      <c r="E136" s="17">
        <f t="shared" si="5"/>
        <v>38000</v>
      </c>
    </row>
    <row r="137" spans="1:5" x14ac:dyDescent="0.35">
      <c r="A137" s="13">
        <f t="shared" si="9"/>
        <v>43143</v>
      </c>
      <c r="B137" s="5" t="s">
        <v>235</v>
      </c>
      <c r="C137" s="5">
        <v>10</v>
      </c>
      <c r="D137" s="17">
        <v>46000</v>
      </c>
      <c r="E137" s="17">
        <f t="shared" si="5"/>
        <v>460000</v>
      </c>
    </row>
    <row r="138" spans="1:5" x14ac:dyDescent="0.35">
      <c r="A138" s="13">
        <f t="shared" si="9"/>
        <v>43143</v>
      </c>
      <c r="B138" s="5" t="s">
        <v>4</v>
      </c>
      <c r="C138" s="5">
        <v>2</v>
      </c>
      <c r="D138" s="17">
        <v>92000</v>
      </c>
      <c r="E138" s="17">
        <f t="shared" si="5"/>
        <v>184000</v>
      </c>
    </row>
    <row r="139" spans="1:5" x14ac:dyDescent="0.35">
      <c r="E139" s="17">
        <f t="shared" si="5"/>
        <v>0</v>
      </c>
    </row>
    <row r="140" spans="1:5" x14ac:dyDescent="0.35">
      <c r="A140" s="13">
        <v>43144</v>
      </c>
      <c r="B140" s="5" t="s">
        <v>140</v>
      </c>
      <c r="C140" s="5">
        <v>1</v>
      </c>
      <c r="D140" s="17">
        <v>56000</v>
      </c>
      <c r="E140" s="17">
        <f t="shared" si="5"/>
        <v>56000</v>
      </c>
    </row>
    <row r="141" spans="1:5" x14ac:dyDescent="0.35">
      <c r="A141" s="13">
        <f>$A$140</f>
        <v>43144</v>
      </c>
      <c r="B141" s="5" t="s">
        <v>201</v>
      </c>
      <c r="C141" s="5">
        <v>1</v>
      </c>
      <c r="D141" s="17">
        <v>54000</v>
      </c>
      <c r="E141" s="17">
        <f t="shared" si="5"/>
        <v>54000</v>
      </c>
    </row>
    <row r="142" spans="1:5" x14ac:dyDescent="0.35">
      <c r="A142" s="13">
        <f t="shared" ref="A142:A155" si="10">$A$140</f>
        <v>43144</v>
      </c>
      <c r="B142" s="5" t="s">
        <v>60</v>
      </c>
      <c r="C142" s="5">
        <v>2</v>
      </c>
      <c r="D142" s="17">
        <v>56000</v>
      </c>
      <c r="E142" s="17">
        <f t="shared" si="5"/>
        <v>112000</v>
      </c>
    </row>
    <row r="143" spans="1:5" x14ac:dyDescent="0.35">
      <c r="A143" s="13">
        <f t="shared" si="10"/>
        <v>43144</v>
      </c>
      <c r="B143" s="5" t="s">
        <v>237</v>
      </c>
      <c r="C143" s="5">
        <v>3</v>
      </c>
      <c r="D143" s="17">
        <v>56000</v>
      </c>
      <c r="E143" s="17">
        <f t="shared" si="5"/>
        <v>168000</v>
      </c>
    </row>
    <row r="144" spans="1:5" x14ac:dyDescent="0.35">
      <c r="A144" s="13">
        <f t="shared" si="10"/>
        <v>43144</v>
      </c>
      <c r="B144" s="5" t="s">
        <v>228</v>
      </c>
      <c r="C144" s="5">
        <v>1</v>
      </c>
      <c r="D144" s="17">
        <v>50000</v>
      </c>
      <c r="E144" s="17">
        <f t="shared" si="5"/>
        <v>50000</v>
      </c>
    </row>
    <row r="145" spans="1:5" x14ac:dyDescent="0.35">
      <c r="A145" s="13">
        <f t="shared" si="10"/>
        <v>43144</v>
      </c>
      <c r="B145" s="5" t="s">
        <v>199</v>
      </c>
      <c r="C145" s="5">
        <v>3</v>
      </c>
      <c r="D145" s="17">
        <v>46000</v>
      </c>
      <c r="E145" s="17">
        <f t="shared" si="5"/>
        <v>138000</v>
      </c>
    </row>
    <row r="146" spans="1:5" x14ac:dyDescent="0.35">
      <c r="A146" s="13">
        <f t="shared" si="10"/>
        <v>43144</v>
      </c>
      <c r="B146" s="5" t="s">
        <v>4</v>
      </c>
      <c r="C146" s="5">
        <v>10</v>
      </c>
      <c r="D146" s="17">
        <v>38000</v>
      </c>
      <c r="E146" s="17">
        <f t="shared" si="5"/>
        <v>380000</v>
      </c>
    </row>
    <row r="147" spans="1:5" x14ac:dyDescent="0.35">
      <c r="A147" s="13">
        <f t="shared" si="10"/>
        <v>43144</v>
      </c>
      <c r="B147" s="5" t="s">
        <v>238</v>
      </c>
      <c r="C147" s="5">
        <v>5</v>
      </c>
      <c r="D147" s="17">
        <v>1600</v>
      </c>
      <c r="E147" s="17">
        <f t="shared" si="5"/>
        <v>8000</v>
      </c>
    </row>
    <row r="148" spans="1:5" x14ac:dyDescent="0.35">
      <c r="A148" s="13">
        <f t="shared" si="10"/>
        <v>43144</v>
      </c>
      <c r="B148" s="5" t="s">
        <v>239</v>
      </c>
      <c r="C148" s="5">
        <v>2</v>
      </c>
      <c r="D148" s="17">
        <v>38000</v>
      </c>
      <c r="E148" s="17">
        <f t="shared" si="5"/>
        <v>76000</v>
      </c>
    </row>
    <row r="149" spans="1:5" x14ac:dyDescent="0.35">
      <c r="A149" s="13">
        <f t="shared" si="10"/>
        <v>43144</v>
      </c>
      <c r="B149" s="5" t="s">
        <v>240</v>
      </c>
      <c r="C149" s="5">
        <v>6</v>
      </c>
      <c r="D149" s="17">
        <v>21000</v>
      </c>
      <c r="E149" s="17">
        <f t="shared" si="5"/>
        <v>126000</v>
      </c>
    </row>
    <row r="150" spans="1:5" x14ac:dyDescent="0.35">
      <c r="A150" s="13">
        <f t="shared" si="10"/>
        <v>43144</v>
      </c>
      <c r="B150" s="5" t="s">
        <v>26</v>
      </c>
      <c r="C150" s="5">
        <v>50</v>
      </c>
      <c r="D150" s="17">
        <v>50000</v>
      </c>
      <c r="E150" s="17">
        <f t="shared" ref="E150:E213" si="11">D150*C150</f>
        <v>2500000</v>
      </c>
    </row>
    <row r="151" spans="1:5" x14ac:dyDescent="0.35">
      <c r="A151" s="13">
        <f t="shared" si="10"/>
        <v>43144</v>
      </c>
      <c r="B151" s="5" t="s">
        <v>4</v>
      </c>
      <c r="C151" s="5">
        <v>2</v>
      </c>
      <c r="D151" s="17">
        <v>38000</v>
      </c>
      <c r="E151" s="17">
        <f t="shared" si="11"/>
        <v>76000</v>
      </c>
    </row>
    <row r="152" spans="1:5" x14ac:dyDescent="0.35">
      <c r="A152" s="13">
        <f t="shared" si="10"/>
        <v>43144</v>
      </c>
      <c r="B152" s="5" t="s">
        <v>29</v>
      </c>
      <c r="C152" s="5">
        <v>9</v>
      </c>
      <c r="D152" s="17">
        <v>53500</v>
      </c>
      <c r="E152" s="17">
        <f t="shared" si="11"/>
        <v>481500</v>
      </c>
    </row>
    <row r="153" spans="1:5" x14ac:dyDescent="0.35">
      <c r="A153" s="13">
        <f t="shared" si="10"/>
        <v>43144</v>
      </c>
      <c r="B153" s="5" t="s">
        <v>241</v>
      </c>
      <c r="C153" s="5">
        <v>68</v>
      </c>
      <c r="D153" s="17">
        <v>10000</v>
      </c>
      <c r="E153" s="17">
        <f t="shared" si="11"/>
        <v>680000</v>
      </c>
    </row>
    <row r="154" spans="1:5" x14ac:dyDescent="0.35">
      <c r="A154" s="13">
        <f t="shared" si="10"/>
        <v>43144</v>
      </c>
      <c r="B154" s="5" t="s">
        <v>242</v>
      </c>
      <c r="C154" s="5">
        <v>1</v>
      </c>
      <c r="D154" s="17">
        <v>25000</v>
      </c>
      <c r="E154" s="17">
        <f t="shared" si="11"/>
        <v>25000</v>
      </c>
    </row>
    <row r="155" spans="1:5" x14ac:dyDescent="0.35">
      <c r="A155" s="13">
        <f t="shared" si="10"/>
        <v>43144</v>
      </c>
      <c r="B155" s="5" t="s">
        <v>18</v>
      </c>
      <c r="C155" s="5">
        <v>4</v>
      </c>
      <c r="D155" s="17">
        <v>52000</v>
      </c>
      <c r="E155" s="17">
        <f t="shared" si="11"/>
        <v>208000</v>
      </c>
    </row>
    <row r="156" spans="1:5" x14ac:dyDescent="0.35">
      <c r="E156" s="17">
        <f t="shared" si="11"/>
        <v>0</v>
      </c>
    </row>
    <row r="157" spans="1:5" x14ac:dyDescent="0.35">
      <c r="A157" s="13">
        <v>43145</v>
      </c>
      <c r="B157" s="5" t="s">
        <v>243</v>
      </c>
      <c r="C157" s="5">
        <v>10</v>
      </c>
      <c r="D157" s="17">
        <v>800</v>
      </c>
      <c r="E157" s="17">
        <f t="shared" si="11"/>
        <v>8000</v>
      </c>
    </row>
    <row r="158" spans="1:5" x14ac:dyDescent="0.35">
      <c r="A158" s="13">
        <f>$A$157</f>
        <v>43145</v>
      </c>
      <c r="B158" s="5" t="s">
        <v>244</v>
      </c>
      <c r="C158" s="5">
        <v>23</v>
      </c>
      <c r="D158" s="17">
        <v>800</v>
      </c>
      <c r="E158" s="17">
        <f t="shared" si="11"/>
        <v>18400</v>
      </c>
    </row>
    <row r="159" spans="1:5" x14ac:dyDescent="0.35">
      <c r="A159" s="13">
        <f t="shared" ref="A159:A164" si="12">$A$157</f>
        <v>43145</v>
      </c>
      <c r="B159" s="5" t="s">
        <v>245</v>
      </c>
      <c r="C159" s="5">
        <v>16</v>
      </c>
      <c r="D159" s="17">
        <v>1600</v>
      </c>
      <c r="E159" s="17">
        <f t="shared" si="11"/>
        <v>25600</v>
      </c>
    </row>
    <row r="160" spans="1:5" x14ac:dyDescent="0.35">
      <c r="A160" s="13">
        <f t="shared" si="12"/>
        <v>43145</v>
      </c>
      <c r="B160" s="5" t="s">
        <v>169</v>
      </c>
      <c r="C160" s="5">
        <v>1</v>
      </c>
      <c r="D160" s="17">
        <v>56000</v>
      </c>
      <c r="E160" s="17">
        <f t="shared" si="11"/>
        <v>56000</v>
      </c>
    </row>
    <row r="161" spans="1:5" x14ac:dyDescent="0.35">
      <c r="A161" s="13">
        <f t="shared" si="12"/>
        <v>43145</v>
      </c>
      <c r="B161" s="5" t="s">
        <v>216</v>
      </c>
      <c r="C161" s="5">
        <v>1</v>
      </c>
      <c r="D161" s="17">
        <v>38000</v>
      </c>
      <c r="E161" s="17">
        <f t="shared" si="11"/>
        <v>38000</v>
      </c>
    </row>
    <row r="162" spans="1:5" x14ac:dyDescent="0.35">
      <c r="A162" s="13">
        <f t="shared" si="12"/>
        <v>43145</v>
      </c>
      <c r="B162" s="5" t="s">
        <v>26</v>
      </c>
      <c r="C162" s="5">
        <v>50</v>
      </c>
      <c r="D162" s="17">
        <v>50000</v>
      </c>
      <c r="E162" s="17">
        <f t="shared" si="11"/>
        <v>2500000</v>
      </c>
    </row>
    <row r="163" spans="1:5" x14ac:dyDescent="0.35">
      <c r="A163" s="13">
        <f t="shared" si="12"/>
        <v>43145</v>
      </c>
      <c r="B163" s="5" t="s">
        <v>92</v>
      </c>
      <c r="C163" s="5">
        <v>70</v>
      </c>
      <c r="D163" s="17">
        <v>1600</v>
      </c>
      <c r="E163" s="17">
        <f t="shared" si="11"/>
        <v>112000</v>
      </c>
    </row>
    <row r="164" spans="1:5" x14ac:dyDescent="0.35">
      <c r="A164" s="13">
        <f t="shared" si="12"/>
        <v>43145</v>
      </c>
      <c r="B164" s="5" t="s">
        <v>44</v>
      </c>
      <c r="C164" s="5">
        <v>1</v>
      </c>
      <c r="D164" s="17">
        <v>54000</v>
      </c>
      <c r="E164" s="17">
        <f t="shared" si="11"/>
        <v>54000</v>
      </c>
    </row>
    <row r="165" spans="1:5" x14ac:dyDescent="0.35">
      <c r="E165" s="17">
        <f t="shared" si="11"/>
        <v>0</v>
      </c>
    </row>
    <row r="166" spans="1:5" x14ac:dyDescent="0.35">
      <c r="A166" s="13">
        <v>43147</v>
      </c>
      <c r="B166" s="5" t="s">
        <v>112</v>
      </c>
      <c r="C166" s="5">
        <v>9</v>
      </c>
      <c r="D166" s="17">
        <v>43500</v>
      </c>
      <c r="E166" s="17">
        <f t="shared" si="11"/>
        <v>391500</v>
      </c>
    </row>
    <row r="167" spans="1:5" x14ac:dyDescent="0.35">
      <c r="A167" s="13">
        <f>$A$166</f>
        <v>43147</v>
      </c>
      <c r="B167" s="5" t="s">
        <v>156</v>
      </c>
      <c r="C167" s="5">
        <v>4</v>
      </c>
      <c r="D167" s="17">
        <v>49000</v>
      </c>
      <c r="E167" s="17">
        <f t="shared" si="11"/>
        <v>196000</v>
      </c>
    </row>
    <row r="168" spans="1:5" x14ac:dyDescent="0.35">
      <c r="A168" s="13">
        <f t="shared" ref="A168:A178" si="13">$A$166</f>
        <v>43147</v>
      </c>
      <c r="B168" s="5" t="s">
        <v>234</v>
      </c>
      <c r="C168" s="5">
        <v>290</v>
      </c>
      <c r="D168" s="17">
        <v>1000</v>
      </c>
      <c r="E168" s="17">
        <f t="shared" si="11"/>
        <v>290000</v>
      </c>
    </row>
    <row r="169" spans="1:5" x14ac:dyDescent="0.35">
      <c r="A169" s="13">
        <f t="shared" si="13"/>
        <v>43147</v>
      </c>
      <c r="B169" s="5" t="s">
        <v>4</v>
      </c>
      <c r="C169" s="5">
        <v>36</v>
      </c>
      <c r="D169" s="17">
        <v>34000</v>
      </c>
      <c r="E169" s="17">
        <f t="shared" si="11"/>
        <v>1224000</v>
      </c>
    </row>
    <row r="170" spans="1:5" x14ac:dyDescent="0.35">
      <c r="A170" s="13">
        <f t="shared" si="13"/>
        <v>43147</v>
      </c>
      <c r="B170" s="5" t="s">
        <v>185</v>
      </c>
      <c r="C170" s="5">
        <v>3</v>
      </c>
      <c r="D170" s="17">
        <v>42500</v>
      </c>
      <c r="E170" s="17">
        <f t="shared" si="11"/>
        <v>127500</v>
      </c>
    </row>
    <row r="171" spans="1:5" x14ac:dyDescent="0.35">
      <c r="A171" s="13">
        <f t="shared" si="13"/>
        <v>43147</v>
      </c>
      <c r="B171" s="5" t="s">
        <v>246</v>
      </c>
      <c r="C171" s="5">
        <v>10</v>
      </c>
      <c r="D171" s="17">
        <v>36000</v>
      </c>
      <c r="E171" s="17">
        <f t="shared" si="11"/>
        <v>360000</v>
      </c>
    </row>
    <row r="172" spans="1:5" x14ac:dyDescent="0.35">
      <c r="A172" s="13">
        <f t="shared" si="13"/>
        <v>43147</v>
      </c>
      <c r="B172" s="5" t="s">
        <v>224</v>
      </c>
      <c r="C172" s="5">
        <v>2</v>
      </c>
      <c r="D172" s="17">
        <v>52000</v>
      </c>
      <c r="E172" s="17">
        <f t="shared" si="11"/>
        <v>104000</v>
      </c>
    </row>
    <row r="173" spans="1:5" x14ac:dyDescent="0.35">
      <c r="A173" s="13">
        <f t="shared" si="13"/>
        <v>43147</v>
      </c>
      <c r="B173" s="5" t="s">
        <v>129</v>
      </c>
      <c r="C173" s="5">
        <v>2</v>
      </c>
      <c r="D173" s="17">
        <v>14000</v>
      </c>
      <c r="E173" s="17">
        <f t="shared" si="11"/>
        <v>28000</v>
      </c>
    </row>
    <row r="174" spans="1:5" x14ac:dyDescent="0.35">
      <c r="A174" s="13">
        <f t="shared" si="13"/>
        <v>43147</v>
      </c>
      <c r="B174" s="5" t="s">
        <v>24</v>
      </c>
      <c r="C174" s="5">
        <v>1</v>
      </c>
      <c r="D174" s="17">
        <v>57000</v>
      </c>
      <c r="E174" s="17">
        <f t="shared" si="11"/>
        <v>57000</v>
      </c>
    </row>
    <row r="175" spans="1:5" x14ac:dyDescent="0.35">
      <c r="A175" s="13">
        <f t="shared" si="13"/>
        <v>43147</v>
      </c>
      <c r="B175" s="5" t="s">
        <v>92</v>
      </c>
      <c r="C175" s="5">
        <v>10</v>
      </c>
      <c r="D175" s="17">
        <v>1600</v>
      </c>
      <c r="E175" s="17">
        <f t="shared" si="11"/>
        <v>16000</v>
      </c>
    </row>
    <row r="176" spans="1:5" x14ac:dyDescent="0.35">
      <c r="A176" s="13">
        <f t="shared" si="13"/>
        <v>43147</v>
      </c>
      <c r="B176" s="5" t="s">
        <v>5</v>
      </c>
      <c r="C176" s="5">
        <v>2</v>
      </c>
      <c r="D176" s="17">
        <v>14000</v>
      </c>
      <c r="E176" s="17">
        <f t="shared" si="11"/>
        <v>28000</v>
      </c>
    </row>
    <row r="177" spans="1:5" x14ac:dyDescent="0.35">
      <c r="A177" s="13">
        <f t="shared" si="13"/>
        <v>43147</v>
      </c>
      <c r="B177" s="5" t="s">
        <v>183</v>
      </c>
      <c r="C177" s="5">
        <v>31</v>
      </c>
      <c r="D177" s="17">
        <v>27000</v>
      </c>
      <c r="E177" s="17">
        <f t="shared" si="11"/>
        <v>837000</v>
      </c>
    </row>
    <row r="178" spans="1:5" x14ac:dyDescent="0.35">
      <c r="A178" s="13">
        <f t="shared" si="13"/>
        <v>43147</v>
      </c>
      <c r="B178" s="5" t="s">
        <v>117</v>
      </c>
      <c r="C178" s="5">
        <v>1</v>
      </c>
      <c r="D178" s="17">
        <v>28000</v>
      </c>
      <c r="E178" s="17">
        <f t="shared" si="11"/>
        <v>28000</v>
      </c>
    </row>
    <row r="179" spans="1:5" x14ac:dyDescent="0.35">
      <c r="E179" s="17">
        <f t="shared" si="11"/>
        <v>0</v>
      </c>
    </row>
    <row r="180" spans="1:5" x14ac:dyDescent="0.35">
      <c r="A180" s="13">
        <v>43148</v>
      </c>
      <c r="B180" s="5" t="s">
        <v>247</v>
      </c>
      <c r="C180" s="5">
        <v>30</v>
      </c>
      <c r="D180" s="17">
        <v>3500</v>
      </c>
      <c r="E180" s="17">
        <f t="shared" si="11"/>
        <v>105000</v>
      </c>
    </row>
    <row r="181" spans="1:5" x14ac:dyDescent="0.35">
      <c r="A181" s="13">
        <f>$A$180</f>
        <v>43148</v>
      </c>
      <c r="B181" s="5" t="s">
        <v>34</v>
      </c>
      <c r="C181" s="5">
        <v>6</v>
      </c>
      <c r="D181" s="17">
        <v>45000</v>
      </c>
      <c r="E181" s="17">
        <f t="shared" si="11"/>
        <v>270000</v>
      </c>
    </row>
    <row r="182" spans="1:5" x14ac:dyDescent="0.35">
      <c r="A182" s="13">
        <f t="shared" ref="A182:A187" si="14">$A$180</f>
        <v>43148</v>
      </c>
      <c r="B182" s="5" t="s">
        <v>250</v>
      </c>
      <c r="C182" s="5">
        <v>2</v>
      </c>
      <c r="D182" s="17">
        <v>48000</v>
      </c>
      <c r="E182" s="17">
        <f t="shared" si="11"/>
        <v>96000</v>
      </c>
    </row>
    <row r="183" spans="1:5" x14ac:dyDescent="0.35">
      <c r="A183" s="13">
        <f t="shared" si="14"/>
        <v>43148</v>
      </c>
      <c r="B183" s="5" t="s">
        <v>246</v>
      </c>
      <c r="C183" s="5">
        <v>7</v>
      </c>
      <c r="D183" s="17">
        <v>36000</v>
      </c>
      <c r="E183" s="17">
        <f t="shared" si="11"/>
        <v>252000</v>
      </c>
    </row>
    <row r="184" spans="1:5" x14ac:dyDescent="0.35">
      <c r="A184" s="13">
        <f t="shared" si="14"/>
        <v>43148</v>
      </c>
      <c r="B184" s="5" t="s">
        <v>199</v>
      </c>
      <c r="C184" s="5">
        <v>1</v>
      </c>
      <c r="D184" s="17">
        <v>46000</v>
      </c>
      <c r="E184" s="17">
        <f t="shared" si="11"/>
        <v>46000</v>
      </c>
    </row>
    <row r="185" spans="1:5" x14ac:dyDescent="0.35">
      <c r="A185" s="13">
        <f t="shared" si="14"/>
        <v>43148</v>
      </c>
      <c r="B185" s="5" t="s">
        <v>248</v>
      </c>
      <c r="C185" s="5">
        <v>3</v>
      </c>
      <c r="D185" s="17">
        <v>57000</v>
      </c>
      <c r="E185" s="17">
        <f t="shared" si="11"/>
        <v>171000</v>
      </c>
    </row>
    <row r="186" spans="1:5" x14ac:dyDescent="0.35">
      <c r="A186" s="13">
        <f t="shared" si="14"/>
        <v>43148</v>
      </c>
      <c r="B186" s="5" t="s">
        <v>181</v>
      </c>
      <c r="C186" s="5">
        <v>2</v>
      </c>
      <c r="D186" s="17">
        <v>46000</v>
      </c>
      <c r="E186" s="17">
        <f t="shared" si="11"/>
        <v>92000</v>
      </c>
    </row>
    <row r="187" spans="1:5" x14ac:dyDescent="0.35">
      <c r="A187" s="13">
        <f t="shared" si="14"/>
        <v>43148</v>
      </c>
      <c r="B187" s="5" t="s">
        <v>44</v>
      </c>
      <c r="C187" s="5">
        <v>16</v>
      </c>
      <c r="D187" s="17">
        <v>54000</v>
      </c>
      <c r="E187" s="17">
        <f t="shared" si="11"/>
        <v>864000</v>
      </c>
    </row>
    <row r="188" spans="1:5" x14ac:dyDescent="0.35">
      <c r="E188" s="17">
        <f t="shared" si="11"/>
        <v>0</v>
      </c>
    </row>
    <row r="189" spans="1:5" x14ac:dyDescent="0.35">
      <c r="A189" s="13">
        <v>43150</v>
      </c>
      <c r="B189" s="5" t="s">
        <v>251</v>
      </c>
      <c r="C189" s="5">
        <v>16</v>
      </c>
      <c r="D189" s="17">
        <v>59000</v>
      </c>
      <c r="E189" s="17">
        <f t="shared" si="11"/>
        <v>944000</v>
      </c>
    </row>
    <row r="190" spans="1:5" x14ac:dyDescent="0.35">
      <c r="A190" s="13">
        <f>$A$189</f>
        <v>43150</v>
      </c>
      <c r="B190" s="5" t="s">
        <v>252</v>
      </c>
      <c r="C190" s="5">
        <v>7</v>
      </c>
      <c r="D190" s="17">
        <v>50000</v>
      </c>
      <c r="E190" s="17">
        <f t="shared" si="11"/>
        <v>350000</v>
      </c>
    </row>
    <row r="191" spans="1:5" x14ac:dyDescent="0.35">
      <c r="A191" s="13">
        <f t="shared" ref="A191:A206" si="15">$A$189</f>
        <v>43150</v>
      </c>
      <c r="B191" s="5" t="s">
        <v>253</v>
      </c>
      <c r="C191" s="5">
        <v>38</v>
      </c>
      <c r="D191" s="17">
        <v>9500</v>
      </c>
      <c r="E191" s="17">
        <f t="shared" si="11"/>
        <v>361000</v>
      </c>
    </row>
    <row r="192" spans="1:5" x14ac:dyDescent="0.35">
      <c r="A192" s="13">
        <f t="shared" si="15"/>
        <v>43150</v>
      </c>
      <c r="B192" s="5" t="s">
        <v>254</v>
      </c>
      <c r="C192" s="5">
        <v>1</v>
      </c>
      <c r="D192" s="17">
        <v>100000</v>
      </c>
      <c r="E192" s="17">
        <f t="shared" si="11"/>
        <v>100000</v>
      </c>
    </row>
    <row r="193" spans="1:5" x14ac:dyDescent="0.35">
      <c r="A193" s="13">
        <f t="shared" si="15"/>
        <v>43150</v>
      </c>
      <c r="B193" s="5" t="s">
        <v>135</v>
      </c>
      <c r="C193" s="5">
        <v>4</v>
      </c>
      <c r="D193" s="17">
        <v>50000</v>
      </c>
      <c r="E193" s="17">
        <f t="shared" si="11"/>
        <v>200000</v>
      </c>
    </row>
    <row r="194" spans="1:5" x14ac:dyDescent="0.35">
      <c r="A194" s="13">
        <f t="shared" si="15"/>
        <v>43150</v>
      </c>
      <c r="B194" s="5" t="s">
        <v>140</v>
      </c>
      <c r="C194" s="5">
        <v>3</v>
      </c>
      <c r="D194" s="17">
        <v>57000</v>
      </c>
      <c r="E194" s="17">
        <f t="shared" si="11"/>
        <v>171000</v>
      </c>
    </row>
    <row r="195" spans="1:5" x14ac:dyDescent="0.35">
      <c r="A195" s="13">
        <f t="shared" si="15"/>
        <v>43150</v>
      </c>
      <c r="B195" s="5" t="s">
        <v>255</v>
      </c>
      <c r="C195" s="5">
        <v>25</v>
      </c>
      <c r="D195" s="17">
        <v>8000</v>
      </c>
      <c r="E195" s="17">
        <f t="shared" si="11"/>
        <v>200000</v>
      </c>
    </row>
    <row r="196" spans="1:5" x14ac:dyDescent="0.35">
      <c r="A196" s="13">
        <f t="shared" si="15"/>
        <v>43150</v>
      </c>
      <c r="B196" s="5" t="s">
        <v>110</v>
      </c>
      <c r="C196" s="5">
        <v>1</v>
      </c>
      <c r="D196" s="17">
        <v>46000</v>
      </c>
      <c r="E196" s="17">
        <f t="shared" si="11"/>
        <v>46000</v>
      </c>
    </row>
    <row r="197" spans="1:5" x14ac:dyDescent="0.35">
      <c r="A197" s="13">
        <f t="shared" si="15"/>
        <v>43150</v>
      </c>
      <c r="B197" s="5" t="s">
        <v>102</v>
      </c>
      <c r="C197" s="5">
        <v>1</v>
      </c>
      <c r="D197" s="17">
        <v>15000</v>
      </c>
      <c r="E197" s="17">
        <f t="shared" si="11"/>
        <v>15000</v>
      </c>
    </row>
    <row r="198" spans="1:5" x14ac:dyDescent="0.35">
      <c r="A198" s="13">
        <f t="shared" si="15"/>
        <v>43150</v>
      </c>
      <c r="B198" s="5" t="s">
        <v>127</v>
      </c>
      <c r="C198" s="5">
        <v>40</v>
      </c>
      <c r="D198" s="17">
        <v>2000</v>
      </c>
      <c r="E198" s="17">
        <f t="shared" si="11"/>
        <v>80000</v>
      </c>
    </row>
    <row r="199" spans="1:5" x14ac:dyDescent="0.35">
      <c r="A199" s="13">
        <f t="shared" si="15"/>
        <v>43150</v>
      </c>
      <c r="B199" s="5" t="s">
        <v>256</v>
      </c>
      <c r="C199" s="5">
        <v>56</v>
      </c>
      <c r="D199" s="17">
        <v>43000</v>
      </c>
      <c r="E199" s="17">
        <f t="shared" si="11"/>
        <v>2408000</v>
      </c>
    </row>
    <row r="200" spans="1:5" x14ac:dyDescent="0.35">
      <c r="A200" s="13">
        <f t="shared" si="15"/>
        <v>43150</v>
      </c>
      <c r="B200" s="5" t="s">
        <v>257</v>
      </c>
      <c r="C200" s="5">
        <v>1</v>
      </c>
      <c r="D200" s="17">
        <v>100000</v>
      </c>
      <c r="E200" s="17">
        <f t="shared" si="11"/>
        <v>100000</v>
      </c>
    </row>
    <row r="201" spans="1:5" x14ac:dyDescent="0.35">
      <c r="A201" s="13">
        <f t="shared" si="15"/>
        <v>43150</v>
      </c>
      <c r="B201" s="5" t="s">
        <v>258</v>
      </c>
      <c r="C201" s="5">
        <v>2</v>
      </c>
      <c r="D201" s="17">
        <v>10000</v>
      </c>
      <c r="E201" s="17">
        <f t="shared" si="11"/>
        <v>20000</v>
      </c>
    </row>
    <row r="202" spans="1:5" x14ac:dyDescent="0.35">
      <c r="A202" s="13">
        <f t="shared" si="15"/>
        <v>43150</v>
      </c>
      <c r="B202" s="5" t="s">
        <v>24</v>
      </c>
      <c r="C202" s="5">
        <v>2</v>
      </c>
      <c r="D202" s="17">
        <v>59000</v>
      </c>
      <c r="E202" s="17">
        <f t="shared" si="11"/>
        <v>118000</v>
      </c>
    </row>
    <row r="203" spans="1:5" x14ac:dyDescent="0.35">
      <c r="A203" s="13">
        <f t="shared" si="15"/>
        <v>43150</v>
      </c>
      <c r="B203" s="5" t="s">
        <v>259</v>
      </c>
      <c r="C203" s="5">
        <v>3</v>
      </c>
      <c r="D203" s="17">
        <v>58000</v>
      </c>
      <c r="E203" s="17">
        <f t="shared" si="11"/>
        <v>174000</v>
      </c>
    </row>
    <row r="204" spans="1:5" x14ac:dyDescent="0.35">
      <c r="A204" s="13">
        <f t="shared" si="15"/>
        <v>43150</v>
      </c>
      <c r="B204" s="5" t="s">
        <v>25</v>
      </c>
      <c r="C204" s="5">
        <v>2</v>
      </c>
      <c r="D204" s="17">
        <v>54000</v>
      </c>
      <c r="E204" s="17">
        <f t="shared" si="11"/>
        <v>108000</v>
      </c>
    </row>
    <row r="205" spans="1:5" x14ac:dyDescent="0.35">
      <c r="A205" s="13">
        <f t="shared" si="15"/>
        <v>43150</v>
      </c>
      <c r="B205" s="5" t="s">
        <v>6</v>
      </c>
      <c r="C205" s="5">
        <v>9</v>
      </c>
      <c r="D205" s="17">
        <v>51000</v>
      </c>
      <c r="E205" s="17">
        <f t="shared" si="11"/>
        <v>459000</v>
      </c>
    </row>
    <row r="206" spans="1:5" x14ac:dyDescent="0.35">
      <c r="A206" s="13">
        <f t="shared" si="15"/>
        <v>43150</v>
      </c>
      <c r="B206" s="5" t="s">
        <v>271</v>
      </c>
      <c r="C206" s="5">
        <v>1</v>
      </c>
      <c r="D206" s="17">
        <v>10000</v>
      </c>
      <c r="E206" s="17">
        <f t="shared" si="11"/>
        <v>10000</v>
      </c>
    </row>
    <row r="207" spans="1:5" x14ac:dyDescent="0.35">
      <c r="E207" s="17">
        <f t="shared" si="11"/>
        <v>0</v>
      </c>
    </row>
    <row r="208" spans="1:5" x14ac:dyDescent="0.35">
      <c r="A208" s="13">
        <v>43151</v>
      </c>
      <c r="B208" s="5" t="s">
        <v>35</v>
      </c>
      <c r="C208" s="5">
        <v>2</v>
      </c>
      <c r="D208" s="17">
        <v>37000</v>
      </c>
      <c r="E208" s="17">
        <f t="shared" si="11"/>
        <v>74000</v>
      </c>
    </row>
    <row r="209" spans="1:5" x14ac:dyDescent="0.35">
      <c r="A209" s="13">
        <f>$A$208</f>
        <v>43151</v>
      </c>
      <c r="E209" s="17">
        <f t="shared" si="11"/>
        <v>0</v>
      </c>
    </row>
    <row r="210" spans="1:5" x14ac:dyDescent="0.35">
      <c r="A210" s="13">
        <f t="shared" ref="A210:A212" si="16">$A$208</f>
        <v>43151</v>
      </c>
      <c r="B210" s="5" t="s">
        <v>260</v>
      </c>
      <c r="C210" s="5">
        <v>1</v>
      </c>
      <c r="D210" s="17">
        <v>46000</v>
      </c>
      <c r="E210" s="17">
        <f t="shared" si="11"/>
        <v>46000</v>
      </c>
    </row>
    <row r="211" spans="1:5" x14ac:dyDescent="0.35">
      <c r="A211" s="13">
        <f t="shared" si="16"/>
        <v>43151</v>
      </c>
      <c r="B211" s="5" t="s">
        <v>30</v>
      </c>
      <c r="C211" s="5">
        <v>3</v>
      </c>
      <c r="D211" s="17">
        <v>47000</v>
      </c>
      <c r="E211" s="17">
        <f t="shared" si="11"/>
        <v>141000</v>
      </c>
    </row>
    <row r="212" spans="1:5" x14ac:dyDescent="0.35">
      <c r="A212" s="13">
        <f t="shared" si="16"/>
        <v>43151</v>
      </c>
      <c r="B212" s="5" t="s">
        <v>35</v>
      </c>
      <c r="C212" s="5">
        <v>1</v>
      </c>
      <c r="D212" s="17">
        <v>38000</v>
      </c>
      <c r="E212" s="17">
        <f t="shared" si="11"/>
        <v>38000</v>
      </c>
    </row>
    <row r="213" spans="1:5" x14ac:dyDescent="0.35">
      <c r="E213" s="17">
        <f t="shared" si="11"/>
        <v>0</v>
      </c>
    </row>
    <row r="214" spans="1:5" x14ac:dyDescent="0.35">
      <c r="A214" s="13">
        <v>43152</v>
      </c>
      <c r="B214" s="5" t="s">
        <v>4</v>
      </c>
      <c r="C214" s="5">
        <v>9</v>
      </c>
      <c r="D214" s="17">
        <v>34000</v>
      </c>
      <c r="E214" s="17">
        <f t="shared" ref="E214:E277" si="17">D214*C214</f>
        <v>306000</v>
      </c>
    </row>
    <row r="215" spans="1:5" x14ac:dyDescent="0.35">
      <c r="A215" s="13">
        <f>$A$214</f>
        <v>43152</v>
      </c>
      <c r="B215" s="5" t="s">
        <v>183</v>
      </c>
      <c r="C215" s="5">
        <v>30</v>
      </c>
      <c r="D215" s="17">
        <v>29000</v>
      </c>
      <c r="E215" s="17">
        <f t="shared" si="17"/>
        <v>870000</v>
      </c>
    </row>
    <row r="216" spans="1:5" x14ac:dyDescent="0.35">
      <c r="A216" s="13">
        <f t="shared" ref="A216:A227" si="18">$A$214</f>
        <v>43152</v>
      </c>
      <c r="B216" s="5" t="s">
        <v>81</v>
      </c>
      <c r="C216" s="5">
        <v>2</v>
      </c>
      <c r="D216" s="17">
        <v>47000</v>
      </c>
      <c r="E216" s="17">
        <f t="shared" si="17"/>
        <v>94000</v>
      </c>
    </row>
    <row r="217" spans="1:5" x14ac:dyDescent="0.35">
      <c r="A217" s="13">
        <f t="shared" si="18"/>
        <v>43152</v>
      </c>
      <c r="B217" s="5" t="s">
        <v>262</v>
      </c>
      <c r="C217" s="5">
        <v>1</v>
      </c>
      <c r="D217" s="17">
        <v>57000</v>
      </c>
      <c r="E217" s="17">
        <f t="shared" si="17"/>
        <v>57000</v>
      </c>
    </row>
    <row r="218" spans="1:5" x14ac:dyDescent="0.35">
      <c r="A218" s="13">
        <f t="shared" si="18"/>
        <v>43152</v>
      </c>
      <c r="B218" s="5" t="s">
        <v>194</v>
      </c>
      <c r="C218" s="5">
        <v>40</v>
      </c>
      <c r="D218" s="17">
        <v>2000</v>
      </c>
      <c r="E218" s="17">
        <f t="shared" si="17"/>
        <v>80000</v>
      </c>
    </row>
    <row r="219" spans="1:5" x14ac:dyDescent="0.35">
      <c r="A219" s="13">
        <f t="shared" si="18"/>
        <v>43152</v>
      </c>
      <c r="B219" s="5" t="s">
        <v>263</v>
      </c>
      <c r="C219" s="5">
        <v>6</v>
      </c>
      <c r="D219" s="17">
        <v>1600</v>
      </c>
      <c r="E219" s="17">
        <f t="shared" si="17"/>
        <v>9600</v>
      </c>
    </row>
    <row r="220" spans="1:5" x14ac:dyDescent="0.35">
      <c r="A220" s="13">
        <f t="shared" si="18"/>
        <v>43152</v>
      </c>
      <c r="B220" s="5" t="s">
        <v>264</v>
      </c>
      <c r="C220" s="5">
        <v>1</v>
      </c>
      <c r="D220" s="17">
        <v>10000</v>
      </c>
      <c r="E220" s="17">
        <f t="shared" si="17"/>
        <v>10000</v>
      </c>
    </row>
    <row r="221" spans="1:5" x14ac:dyDescent="0.35">
      <c r="A221" s="13">
        <f t="shared" si="18"/>
        <v>43152</v>
      </c>
      <c r="B221" s="5" t="s">
        <v>127</v>
      </c>
      <c r="C221" s="5">
        <v>4</v>
      </c>
      <c r="D221" s="17">
        <v>2000</v>
      </c>
      <c r="E221" s="17">
        <f t="shared" si="17"/>
        <v>8000</v>
      </c>
    </row>
    <row r="222" spans="1:5" x14ac:dyDescent="0.35">
      <c r="A222" s="13">
        <f t="shared" si="18"/>
        <v>43152</v>
      </c>
      <c r="B222" s="5" t="s">
        <v>265</v>
      </c>
      <c r="C222" s="5">
        <v>4</v>
      </c>
      <c r="D222" s="17">
        <v>46500</v>
      </c>
      <c r="E222" s="17">
        <f t="shared" si="17"/>
        <v>186000</v>
      </c>
    </row>
    <row r="223" spans="1:5" x14ac:dyDescent="0.35">
      <c r="A223" s="13">
        <f t="shared" si="18"/>
        <v>43152</v>
      </c>
      <c r="B223" s="5" t="s">
        <v>266</v>
      </c>
      <c r="C223" s="5">
        <v>4</v>
      </c>
      <c r="D223" s="17">
        <v>49000</v>
      </c>
      <c r="E223" s="17">
        <f t="shared" si="17"/>
        <v>196000</v>
      </c>
    </row>
    <row r="224" spans="1:5" x14ac:dyDescent="0.35">
      <c r="A224" s="13">
        <f t="shared" si="18"/>
        <v>43152</v>
      </c>
      <c r="B224" s="5" t="s">
        <v>267</v>
      </c>
      <c r="C224" s="5">
        <v>3</v>
      </c>
      <c r="D224" s="17">
        <v>49000</v>
      </c>
      <c r="E224" s="17">
        <f t="shared" si="17"/>
        <v>147000</v>
      </c>
    </row>
    <row r="225" spans="1:5" x14ac:dyDescent="0.35">
      <c r="A225" s="13">
        <f t="shared" si="18"/>
        <v>43152</v>
      </c>
      <c r="B225" s="5" t="s">
        <v>268</v>
      </c>
      <c r="C225" s="5">
        <v>4</v>
      </c>
      <c r="D225" s="17">
        <v>4000</v>
      </c>
      <c r="E225" s="17">
        <f t="shared" si="17"/>
        <v>16000</v>
      </c>
    </row>
    <row r="226" spans="1:5" x14ac:dyDescent="0.35">
      <c r="A226" s="13">
        <f t="shared" si="18"/>
        <v>43152</v>
      </c>
      <c r="B226" s="5" t="s">
        <v>261</v>
      </c>
      <c r="C226" s="5">
        <v>1</v>
      </c>
      <c r="D226" s="17">
        <v>59000</v>
      </c>
      <c r="E226" s="17">
        <f t="shared" si="17"/>
        <v>59000</v>
      </c>
    </row>
    <row r="227" spans="1:5" x14ac:dyDescent="0.35">
      <c r="A227" s="13">
        <f t="shared" si="18"/>
        <v>43152</v>
      </c>
      <c r="B227" s="5" t="s">
        <v>35</v>
      </c>
      <c r="C227" s="5">
        <v>2</v>
      </c>
      <c r="D227" s="17">
        <v>37000</v>
      </c>
      <c r="E227" s="17">
        <f t="shared" si="17"/>
        <v>74000</v>
      </c>
    </row>
    <row r="228" spans="1:5" x14ac:dyDescent="0.35">
      <c r="E228" s="17">
        <f t="shared" si="17"/>
        <v>0</v>
      </c>
    </row>
    <row r="229" spans="1:5" x14ac:dyDescent="0.35">
      <c r="A229" s="13">
        <v>43153</v>
      </c>
      <c r="B229" s="5" t="s">
        <v>112</v>
      </c>
      <c r="C229" s="5">
        <v>3</v>
      </c>
      <c r="D229" s="17">
        <v>43000</v>
      </c>
      <c r="E229" s="17">
        <f t="shared" si="17"/>
        <v>129000</v>
      </c>
    </row>
    <row r="230" spans="1:5" x14ac:dyDescent="0.35">
      <c r="A230" s="13">
        <f>$A$229</f>
        <v>43153</v>
      </c>
      <c r="B230" s="5" t="s">
        <v>4</v>
      </c>
      <c r="C230" s="5">
        <v>4</v>
      </c>
      <c r="D230" s="17">
        <v>38000</v>
      </c>
      <c r="E230" s="17">
        <f t="shared" si="17"/>
        <v>152000</v>
      </c>
    </row>
    <row r="231" spans="1:5" x14ac:dyDescent="0.35">
      <c r="A231" s="13">
        <f t="shared" ref="A231:A237" si="19">$A$229</f>
        <v>43153</v>
      </c>
      <c r="B231" s="5" t="s">
        <v>38</v>
      </c>
      <c r="C231" s="5">
        <v>6</v>
      </c>
      <c r="D231" s="17">
        <v>50000</v>
      </c>
      <c r="E231" s="17">
        <f t="shared" si="17"/>
        <v>300000</v>
      </c>
    </row>
    <row r="232" spans="1:5" x14ac:dyDescent="0.35">
      <c r="A232" s="13">
        <f t="shared" si="19"/>
        <v>43153</v>
      </c>
      <c r="B232" s="5" t="s">
        <v>30</v>
      </c>
      <c r="C232" s="5">
        <v>3</v>
      </c>
      <c r="D232" s="17">
        <v>47000</v>
      </c>
      <c r="E232" s="17">
        <f t="shared" si="17"/>
        <v>141000</v>
      </c>
    </row>
    <row r="233" spans="1:5" x14ac:dyDescent="0.35">
      <c r="A233" s="13">
        <f t="shared" si="19"/>
        <v>43153</v>
      </c>
      <c r="B233" s="5" t="s">
        <v>214</v>
      </c>
      <c r="C233" s="5">
        <v>3</v>
      </c>
      <c r="D233" s="17">
        <v>46000</v>
      </c>
      <c r="E233" s="17">
        <f t="shared" si="17"/>
        <v>138000</v>
      </c>
    </row>
    <row r="234" spans="1:5" x14ac:dyDescent="0.35">
      <c r="A234" s="13">
        <f t="shared" si="19"/>
        <v>43153</v>
      </c>
      <c r="B234" s="5" t="s">
        <v>226</v>
      </c>
      <c r="C234" s="5">
        <v>2</v>
      </c>
      <c r="D234" s="17">
        <v>50000</v>
      </c>
      <c r="E234" s="17">
        <f t="shared" si="17"/>
        <v>100000</v>
      </c>
    </row>
    <row r="235" spans="1:5" x14ac:dyDescent="0.35">
      <c r="A235" s="13">
        <f t="shared" si="19"/>
        <v>43153</v>
      </c>
      <c r="B235" s="5" t="s">
        <v>25</v>
      </c>
      <c r="C235" s="5">
        <v>2</v>
      </c>
      <c r="D235" s="17">
        <v>54000</v>
      </c>
      <c r="E235" s="17">
        <f t="shared" si="17"/>
        <v>108000</v>
      </c>
    </row>
    <row r="236" spans="1:5" x14ac:dyDescent="0.35">
      <c r="A236" s="13">
        <f t="shared" si="19"/>
        <v>43153</v>
      </c>
      <c r="B236" s="5" t="s">
        <v>4</v>
      </c>
      <c r="C236" s="5">
        <v>3</v>
      </c>
      <c r="D236" s="17">
        <v>38000</v>
      </c>
      <c r="E236" s="17">
        <f t="shared" si="17"/>
        <v>114000</v>
      </c>
    </row>
    <row r="237" spans="1:5" x14ac:dyDescent="0.35">
      <c r="A237" s="13">
        <f t="shared" si="19"/>
        <v>43153</v>
      </c>
      <c r="B237" s="5" t="s">
        <v>81</v>
      </c>
      <c r="C237" s="5">
        <v>1</v>
      </c>
      <c r="D237" s="17">
        <v>47000</v>
      </c>
      <c r="E237" s="17">
        <f t="shared" si="17"/>
        <v>47000</v>
      </c>
    </row>
    <row r="238" spans="1:5" x14ac:dyDescent="0.35">
      <c r="E238" s="17">
        <f t="shared" si="17"/>
        <v>0</v>
      </c>
    </row>
    <row r="239" spans="1:5" x14ac:dyDescent="0.35">
      <c r="A239" s="13">
        <v>43154</v>
      </c>
      <c r="B239" s="5" t="s">
        <v>30</v>
      </c>
      <c r="C239" s="5">
        <v>2</v>
      </c>
      <c r="D239" s="17">
        <v>47000</v>
      </c>
      <c r="E239" s="17">
        <f t="shared" si="17"/>
        <v>94000</v>
      </c>
    </row>
    <row r="240" spans="1:5" x14ac:dyDescent="0.35">
      <c r="A240" s="13">
        <f>$A$239</f>
        <v>43154</v>
      </c>
      <c r="B240" s="5" t="s">
        <v>272</v>
      </c>
      <c r="C240" s="5">
        <v>11</v>
      </c>
      <c r="D240" s="17">
        <v>4000</v>
      </c>
      <c r="E240" s="17">
        <f t="shared" si="17"/>
        <v>44000</v>
      </c>
    </row>
    <row r="241" spans="1:5" x14ac:dyDescent="0.35">
      <c r="A241" s="13">
        <f t="shared" ref="A241:A245" si="20">$A$239</f>
        <v>43154</v>
      </c>
      <c r="B241" s="5" t="s">
        <v>273</v>
      </c>
      <c r="C241" s="5">
        <v>1</v>
      </c>
      <c r="D241" s="17">
        <v>26000</v>
      </c>
      <c r="E241" s="17">
        <f t="shared" si="17"/>
        <v>26000</v>
      </c>
    </row>
    <row r="242" spans="1:5" x14ac:dyDescent="0.35">
      <c r="A242" s="13">
        <f t="shared" si="20"/>
        <v>43154</v>
      </c>
      <c r="B242" s="5" t="s">
        <v>18</v>
      </c>
      <c r="C242" s="5">
        <v>1</v>
      </c>
      <c r="D242" s="17">
        <v>53000</v>
      </c>
      <c r="E242" s="17">
        <f t="shared" si="17"/>
        <v>53000</v>
      </c>
    </row>
    <row r="243" spans="1:5" x14ac:dyDescent="0.35">
      <c r="A243" s="13">
        <f t="shared" si="20"/>
        <v>43154</v>
      </c>
      <c r="B243" s="5" t="s">
        <v>251</v>
      </c>
      <c r="C243" s="5">
        <v>1</v>
      </c>
      <c r="D243" s="17">
        <v>59000</v>
      </c>
      <c r="E243" s="17">
        <f t="shared" si="17"/>
        <v>59000</v>
      </c>
    </row>
    <row r="244" spans="1:5" x14ac:dyDescent="0.35">
      <c r="A244" s="13">
        <f t="shared" si="20"/>
        <v>43154</v>
      </c>
      <c r="B244" s="5" t="s">
        <v>274</v>
      </c>
      <c r="C244" s="5">
        <v>1</v>
      </c>
      <c r="D244" s="17">
        <v>46000</v>
      </c>
      <c r="E244" s="17">
        <f t="shared" si="17"/>
        <v>46000</v>
      </c>
    </row>
    <row r="245" spans="1:5" x14ac:dyDescent="0.35">
      <c r="A245" s="13">
        <f t="shared" si="20"/>
        <v>43154</v>
      </c>
      <c r="B245" s="5" t="s">
        <v>275</v>
      </c>
      <c r="C245" s="5">
        <v>1</v>
      </c>
      <c r="D245" s="17">
        <v>46000</v>
      </c>
      <c r="E245" s="17">
        <f t="shared" si="17"/>
        <v>46000</v>
      </c>
    </row>
    <row r="246" spans="1:5" x14ac:dyDescent="0.35">
      <c r="E246" s="17">
        <f t="shared" si="17"/>
        <v>0</v>
      </c>
    </row>
    <row r="247" spans="1:5" x14ac:dyDescent="0.35">
      <c r="A247" s="13">
        <v>43155</v>
      </c>
      <c r="B247" s="5" t="s">
        <v>276</v>
      </c>
      <c r="C247" s="5">
        <v>2</v>
      </c>
      <c r="D247" s="17">
        <v>53000</v>
      </c>
      <c r="E247" s="17">
        <f t="shared" si="17"/>
        <v>106000</v>
      </c>
    </row>
    <row r="248" spans="1:5" x14ac:dyDescent="0.35">
      <c r="A248" s="13">
        <f>$A$247</f>
        <v>43155</v>
      </c>
      <c r="B248" s="5" t="s">
        <v>261</v>
      </c>
      <c r="C248" s="5">
        <v>2</v>
      </c>
      <c r="D248" s="17">
        <v>59000</v>
      </c>
      <c r="E248" s="17">
        <f t="shared" si="17"/>
        <v>118000</v>
      </c>
    </row>
    <row r="249" spans="1:5" x14ac:dyDescent="0.35">
      <c r="A249" s="13">
        <f t="shared" ref="A249:A255" si="21">$A$247</f>
        <v>43155</v>
      </c>
      <c r="B249" s="5" t="s">
        <v>278</v>
      </c>
      <c r="C249" s="5">
        <v>1</v>
      </c>
      <c r="D249" s="17">
        <v>35000</v>
      </c>
      <c r="E249" s="17">
        <f t="shared" si="17"/>
        <v>35000</v>
      </c>
    </row>
    <row r="250" spans="1:5" x14ac:dyDescent="0.35">
      <c r="A250" s="13">
        <f t="shared" si="21"/>
        <v>43155</v>
      </c>
      <c r="B250" s="5" t="s">
        <v>279</v>
      </c>
      <c r="C250" s="5">
        <v>1</v>
      </c>
      <c r="D250" s="17">
        <v>10000</v>
      </c>
      <c r="E250" s="17">
        <f t="shared" si="17"/>
        <v>10000</v>
      </c>
    </row>
    <row r="251" spans="1:5" x14ac:dyDescent="0.35">
      <c r="A251" s="13">
        <f t="shared" si="21"/>
        <v>43155</v>
      </c>
      <c r="B251" s="5" t="s">
        <v>280</v>
      </c>
      <c r="C251" s="5">
        <v>1</v>
      </c>
      <c r="D251" s="17">
        <v>46000</v>
      </c>
      <c r="E251" s="17">
        <f t="shared" si="17"/>
        <v>46000</v>
      </c>
    </row>
    <row r="252" spans="1:5" x14ac:dyDescent="0.35">
      <c r="A252" s="13">
        <f t="shared" si="21"/>
        <v>43155</v>
      </c>
      <c r="B252" s="5" t="s">
        <v>34</v>
      </c>
      <c r="C252" s="5">
        <v>15</v>
      </c>
      <c r="D252" s="17">
        <v>41000</v>
      </c>
      <c r="E252" s="17">
        <f t="shared" si="17"/>
        <v>615000</v>
      </c>
    </row>
    <row r="253" spans="1:5" x14ac:dyDescent="0.35">
      <c r="A253" s="13">
        <f t="shared" si="21"/>
        <v>43155</v>
      </c>
      <c r="B253" s="5" t="s">
        <v>58</v>
      </c>
      <c r="C253" s="5">
        <v>1</v>
      </c>
      <c r="D253" s="17">
        <v>50000</v>
      </c>
      <c r="E253" s="17">
        <f t="shared" si="17"/>
        <v>50000</v>
      </c>
    </row>
    <row r="254" spans="1:5" x14ac:dyDescent="0.35">
      <c r="A254" s="13">
        <f t="shared" si="21"/>
        <v>43155</v>
      </c>
      <c r="B254" s="5" t="s">
        <v>85</v>
      </c>
      <c r="C254" s="5">
        <v>29</v>
      </c>
      <c r="D254" s="17">
        <v>42000</v>
      </c>
      <c r="E254" s="17">
        <f t="shared" si="17"/>
        <v>1218000</v>
      </c>
    </row>
    <row r="255" spans="1:5" x14ac:dyDescent="0.35">
      <c r="A255" s="13">
        <f t="shared" si="21"/>
        <v>43155</v>
      </c>
      <c r="B255" s="5" t="s">
        <v>280</v>
      </c>
      <c r="C255" s="5">
        <v>2</v>
      </c>
      <c r="D255" s="17">
        <v>46000</v>
      </c>
      <c r="E255" s="17">
        <f t="shared" si="17"/>
        <v>92000</v>
      </c>
    </row>
    <row r="256" spans="1:5" x14ac:dyDescent="0.35">
      <c r="E256" s="17">
        <f t="shared" si="17"/>
        <v>0</v>
      </c>
    </row>
    <row r="257" spans="1:5" x14ac:dyDescent="0.35">
      <c r="A257" s="13">
        <v>43157</v>
      </c>
      <c r="B257" s="5" t="s">
        <v>4</v>
      </c>
      <c r="C257" s="5">
        <v>10</v>
      </c>
      <c r="D257" s="17">
        <v>38000</v>
      </c>
      <c r="E257" s="17">
        <f t="shared" si="17"/>
        <v>380000</v>
      </c>
    </row>
    <row r="258" spans="1:5" x14ac:dyDescent="0.35">
      <c r="A258" s="13">
        <f>$A$257</f>
        <v>43157</v>
      </c>
      <c r="B258" s="5" t="s">
        <v>281</v>
      </c>
      <c r="C258" s="5">
        <v>11</v>
      </c>
      <c r="D258" s="17">
        <v>3500</v>
      </c>
      <c r="E258" s="17">
        <f t="shared" si="17"/>
        <v>38500</v>
      </c>
    </row>
    <row r="259" spans="1:5" x14ac:dyDescent="0.35">
      <c r="A259" s="13">
        <f t="shared" ref="A259:A280" si="22">$A$257</f>
        <v>43157</v>
      </c>
      <c r="B259" s="5" t="s">
        <v>4</v>
      </c>
      <c r="C259" s="5">
        <v>29</v>
      </c>
      <c r="D259" s="17">
        <v>37000</v>
      </c>
      <c r="E259" s="17">
        <f t="shared" si="17"/>
        <v>1073000</v>
      </c>
    </row>
    <row r="260" spans="1:5" x14ac:dyDescent="0.35">
      <c r="A260" s="13">
        <f t="shared" si="22"/>
        <v>43157</v>
      </c>
      <c r="B260" s="5" t="s">
        <v>1</v>
      </c>
      <c r="C260" s="5">
        <v>2</v>
      </c>
      <c r="D260" s="17">
        <v>50000</v>
      </c>
      <c r="E260" s="17">
        <f t="shared" si="17"/>
        <v>100000</v>
      </c>
    </row>
    <row r="261" spans="1:5" x14ac:dyDescent="0.35">
      <c r="A261" s="13">
        <f t="shared" si="22"/>
        <v>43157</v>
      </c>
      <c r="B261" s="5" t="s">
        <v>100</v>
      </c>
      <c r="C261" s="5">
        <v>3</v>
      </c>
      <c r="D261" s="17">
        <v>43500</v>
      </c>
      <c r="E261" s="17">
        <f t="shared" si="17"/>
        <v>130500</v>
      </c>
    </row>
    <row r="262" spans="1:5" x14ac:dyDescent="0.35">
      <c r="A262" s="13">
        <f t="shared" si="22"/>
        <v>43157</v>
      </c>
      <c r="B262" s="5" t="s">
        <v>279</v>
      </c>
      <c r="C262" s="5">
        <v>1</v>
      </c>
      <c r="D262" s="17">
        <v>10000</v>
      </c>
      <c r="E262" s="17">
        <f t="shared" si="17"/>
        <v>10000</v>
      </c>
    </row>
    <row r="263" spans="1:5" x14ac:dyDescent="0.35">
      <c r="A263" s="13">
        <f t="shared" si="22"/>
        <v>43157</v>
      </c>
      <c r="B263" s="5" t="s">
        <v>282</v>
      </c>
      <c r="C263" s="5">
        <v>1</v>
      </c>
      <c r="D263" s="17">
        <v>48000</v>
      </c>
      <c r="E263" s="17">
        <f t="shared" si="17"/>
        <v>48000</v>
      </c>
    </row>
    <row r="264" spans="1:5" x14ac:dyDescent="0.35">
      <c r="A264" s="13">
        <f t="shared" si="22"/>
        <v>43157</v>
      </c>
      <c r="B264" s="5" t="s">
        <v>283</v>
      </c>
      <c r="C264" s="5">
        <v>7</v>
      </c>
      <c r="D264" s="17">
        <v>49000</v>
      </c>
      <c r="E264" s="17">
        <f t="shared" si="17"/>
        <v>343000</v>
      </c>
    </row>
    <row r="265" spans="1:5" x14ac:dyDescent="0.35">
      <c r="A265" s="13">
        <f t="shared" si="22"/>
        <v>43157</v>
      </c>
      <c r="B265" s="5" t="s">
        <v>284</v>
      </c>
      <c r="C265" s="5">
        <v>3</v>
      </c>
      <c r="D265" s="17">
        <v>46000</v>
      </c>
      <c r="E265" s="17">
        <f t="shared" si="17"/>
        <v>138000</v>
      </c>
    </row>
    <row r="266" spans="1:5" x14ac:dyDescent="0.35">
      <c r="A266" s="13">
        <f t="shared" si="22"/>
        <v>43157</v>
      </c>
      <c r="B266" s="5" t="s">
        <v>285</v>
      </c>
      <c r="C266" s="5">
        <v>47</v>
      </c>
      <c r="D266" s="17">
        <v>43000</v>
      </c>
      <c r="E266" s="17">
        <f t="shared" si="17"/>
        <v>2021000</v>
      </c>
    </row>
    <row r="267" spans="1:5" x14ac:dyDescent="0.35">
      <c r="A267" s="13">
        <f t="shared" si="22"/>
        <v>43157</v>
      </c>
      <c r="B267" s="5" t="s">
        <v>149</v>
      </c>
      <c r="C267" s="5">
        <v>1</v>
      </c>
      <c r="D267" s="17">
        <v>100000</v>
      </c>
      <c r="E267" s="17">
        <f t="shared" si="17"/>
        <v>100000</v>
      </c>
    </row>
    <row r="268" spans="1:5" x14ac:dyDescent="0.35">
      <c r="A268" s="13">
        <f t="shared" si="22"/>
        <v>43157</v>
      </c>
      <c r="B268" s="5" t="s">
        <v>286</v>
      </c>
      <c r="C268" s="5">
        <v>1</v>
      </c>
      <c r="D268" s="17">
        <v>35000</v>
      </c>
      <c r="E268" s="17">
        <f t="shared" si="17"/>
        <v>35000</v>
      </c>
    </row>
    <row r="269" spans="1:5" x14ac:dyDescent="0.35">
      <c r="A269" s="13">
        <f t="shared" si="22"/>
        <v>43157</v>
      </c>
      <c r="B269" s="5" t="s">
        <v>287</v>
      </c>
      <c r="C269" s="5">
        <v>1</v>
      </c>
      <c r="D269" s="17">
        <v>25000</v>
      </c>
      <c r="E269" s="17">
        <f t="shared" si="17"/>
        <v>25000</v>
      </c>
    </row>
    <row r="270" spans="1:5" x14ac:dyDescent="0.35">
      <c r="A270" s="13">
        <f t="shared" si="22"/>
        <v>43157</v>
      </c>
      <c r="B270" s="5" t="s">
        <v>30</v>
      </c>
      <c r="C270" s="5">
        <v>1</v>
      </c>
      <c r="D270" s="17">
        <v>40000</v>
      </c>
      <c r="E270" s="17">
        <f t="shared" si="17"/>
        <v>40000</v>
      </c>
    </row>
    <row r="271" spans="1:5" x14ac:dyDescent="0.35">
      <c r="A271" s="13">
        <f t="shared" si="22"/>
        <v>43157</v>
      </c>
      <c r="B271" s="5" t="s">
        <v>25</v>
      </c>
      <c r="C271" s="5">
        <v>10</v>
      </c>
      <c r="D271" s="17">
        <v>54000</v>
      </c>
      <c r="E271" s="17">
        <f t="shared" si="17"/>
        <v>540000</v>
      </c>
    </row>
    <row r="272" spans="1:5" x14ac:dyDescent="0.35">
      <c r="A272" s="13">
        <f t="shared" si="22"/>
        <v>43157</v>
      </c>
      <c r="B272" s="5" t="s">
        <v>64</v>
      </c>
      <c r="C272" s="5">
        <v>15</v>
      </c>
      <c r="D272" s="17">
        <v>58000</v>
      </c>
      <c r="E272" s="17">
        <f t="shared" si="17"/>
        <v>870000</v>
      </c>
    </row>
    <row r="273" spans="1:5" x14ac:dyDescent="0.35">
      <c r="A273" s="13">
        <f t="shared" si="22"/>
        <v>43157</v>
      </c>
      <c r="B273" s="5" t="s">
        <v>288</v>
      </c>
      <c r="C273" s="5">
        <v>1</v>
      </c>
      <c r="D273" s="17">
        <v>46000</v>
      </c>
      <c r="E273" s="17">
        <f t="shared" si="17"/>
        <v>46000</v>
      </c>
    </row>
    <row r="274" spans="1:5" x14ac:dyDescent="0.35">
      <c r="A274" s="13">
        <f t="shared" si="22"/>
        <v>43157</v>
      </c>
      <c r="B274" s="5" t="s">
        <v>4</v>
      </c>
      <c r="C274" s="5">
        <v>2</v>
      </c>
      <c r="D274" s="17">
        <v>38000</v>
      </c>
      <c r="E274" s="17">
        <f t="shared" si="17"/>
        <v>76000</v>
      </c>
    </row>
    <row r="275" spans="1:5" x14ac:dyDescent="0.35">
      <c r="A275" s="13">
        <f t="shared" si="22"/>
        <v>43157</v>
      </c>
      <c r="B275" s="5" t="s">
        <v>46</v>
      </c>
      <c r="C275" s="5">
        <v>1</v>
      </c>
      <c r="D275" s="17">
        <v>15000</v>
      </c>
      <c r="E275" s="17">
        <f t="shared" si="17"/>
        <v>15000</v>
      </c>
    </row>
    <row r="276" spans="1:5" x14ac:dyDescent="0.35">
      <c r="A276" s="13">
        <f t="shared" si="22"/>
        <v>43157</v>
      </c>
      <c r="B276" s="5" t="s">
        <v>264</v>
      </c>
      <c r="C276" s="5">
        <v>5</v>
      </c>
      <c r="D276" s="17">
        <v>10000</v>
      </c>
      <c r="E276" s="17">
        <f t="shared" si="17"/>
        <v>50000</v>
      </c>
    </row>
    <row r="277" spans="1:5" x14ac:dyDescent="0.35">
      <c r="A277" s="13">
        <f t="shared" si="22"/>
        <v>43157</v>
      </c>
      <c r="B277" s="5" t="s">
        <v>289</v>
      </c>
      <c r="C277" s="5">
        <v>1</v>
      </c>
      <c r="D277" s="17">
        <v>50000</v>
      </c>
      <c r="E277" s="17">
        <f t="shared" si="17"/>
        <v>50000</v>
      </c>
    </row>
    <row r="278" spans="1:5" x14ac:dyDescent="0.35">
      <c r="A278" s="13">
        <f t="shared" si="22"/>
        <v>43157</v>
      </c>
      <c r="B278" s="5" t="s">
        <v>73</v>
      </c>
      <c r="C278" s="5">
        <v>2</v>
      </c>
      <c r="D278" s="17">
        <v>43500</v>
      </c>
      <c r="E278" s="17">
        <f t="shared" ref="E278:E312" si="23">D278*C278</f>
        <v>87000</v>
      </c>
    </row>
    <row r="279" spans="1:5" x14ac:dyDescent="0.35">
      <c r="A279" s="13">
        <f t="shared" si="22"/>
        <v>43157</v>
      </c>
      <c r="B279" s="5" t="s">
        <v>194</v>
      </c>
      <c r="C279" s="5">
        <v>15</v>
      </c>
      <c r="D279" s="17">
        <v>2000</v>
      </c>
      <c r="E279" s="17">
        <f t="shared" si="23"/>
        <v>30000</v>
      </c>
    </row>
    <row r="280" spans="1:5" x14ac:dyDescent="0.35">
      <c r="A280" s="13">
        <f t="shared" si="22"/>
        <v>43157</v>
      </c>
      <c r="B280" s="5" t="s">
        <v>290</v>
      </c>
      <c r="C280" s="5">
        <v>1</v>
      </c>
      <c r="D280" s="17">
        <v>46000</v>
      </c>
      <c r="E280" s="17">
        <f t="shared" si="23"/>
        <v>46000</v>
      </c>
    </row>
    <row r="281" spans="1:5" x14ac:dyDescent="0.35">
      <c r="E281" s="17">
        <f t="shared" si="23"/>
        <v>0</v>
      </c>
    </row>
    <row r="282" spans="1:5" x14ac:dyDescent="0.35">
      <c r="A282" s="13">
        <v>43461</v>
      </c>
      <c r="B282" s="5" t="s">
        <v>291</v>
      </c>
      <c r="C282" s="5">
        <v>87</v>
      </c>
      <c r="D282" s="17">
        <v>116872</v>
      </c>
      <c r="E282" s="17">
        <f t="shared" si="23"/>
        <v>10167864</v>
      </c>
    </row>
    <row r="283" spans="1:5" x14ac:dyDescent="0.35">
      <c r="A283" s="13">
        <f>$A$282</f>
        <v>43461</v>
      </c>
      <c r="B283" s="5" t="s">
        <v>292</v>
      </c>
      <c r="C283" s="5">
        <v>4</v>
      </c>
      <c r="D283" s="17">
        <v>51000</v>
      </c>
      <c r="E283" s="17">
        <f t="shared" si="23"/>
        <v>204000</v>
      </c>
    </row>
    <row r="284" spans="1:5" x14ac:dyDescent="0.35">
      <c r="A284" s="13">
        <f t="shared" ref="A284:A307" si="24">$A$282</f>
        <v>43461</v>
      </c>
      <c r="B284" s="5" t="s">
        <v>293</v>
      </c>
      <c r="C284" s="5">
        <v>13</v>
      </c>
      <c r="D284" s="17">
        <v>58000</v>
      </c>
      <c r="E284" s="17">
        <f t="shared" si="23"/>
        <v>754000</v>
      </c>
    </row>
    <row r="285" spans="1:5" x14ac:dyDescent="0.35">
      <c r="A285" s="13">
        <f t="shared" si="24"/>
        <v>43461</v>
      </c>
      <c r="B285" s="5" t="s">
        <v>159</v>
      </c>
      <c r="C285" s="5">
        <v>10</v>
      </c>
      <c r="D285" s="17">
        <v>52000</v>
      </c>
      <c r="E285" s="17">
        <f t="shared" si="23"/>
        <v>520000</v>
      </c>
    </row>
    <row r="286" spans="1:5" x14ac:dyDescent="0.35">
      <c r="A286" s="13">
        <f t="shared" si="24"/>
        <v>43461</v>
      </c>
      <c r="B286" s="5" t="s">
        <v>294</v>
      </c>
      <c r="C286" s="5">
        <v>38</v>
      </c>
      <c r="D286" s="17">
        <v>7500</v>
      </c>
      <c r="E286" s="17">
        <f t="shared" si="23"/>
        <v>285000</v>
      </c>
    </row>
    <row r="287" spans="1:5" x14ac:dyDescent="0.35">
      <c r="A287" s="13">
        <f t="shared" si="24"/>
        <v>43461</v>
      </c>
      <c r="B287" s="5" t="s">
        <v>3</v>
      </c>
      <c r="C287" s="5">
        <v>11</v>
      </c>
      <c r="D287" s="17">
        <v>53000</v>
      </c>
      <c r="E287" s="17">
        <f t="shared" si="23"/>
        <v>583000</v>
      </c>
    </row>
    <row r="288" spans="1:5" x14ac:dyDescent="0.35">
      <c r="A288" s="13">
        <f t="shared" si="24"/>
        <v>43461</v>
      </c>
      <c r="E288" s="17">
        <f t="shared" si="23"/>
        <v>0</v>
      </c>
    </row>
    <row r="289" spans="1:5" x14ac:dyDescent="0.35">
      <c r="A289" s="13">
        <f t="shared" si="24"/>
        <v>43461</v>
      </c>
      <c r="B289" s="5" t="s">
        <v>295</v>
      </c>
      <c r="C289" s="5">
        <v>3</v>
      </c>
      <c r="D289" s="17">
        <v>3500</v>
      </c>
      <c r="E289" s="17">
        <f t="shared" si="23"/>
        <v>10500</v>
      </c>
    </row>
    <row r="290" spans="1:5" x14ac:dyDescent="0.35">
      <c r="A290" s="13">
        <f t="shared" si="24"/>
        <v>43461</v>
      </c>
      <c r="B290" s="5" t="s">
        <v>296</v>
      </c>
      <c r="C290" s="5">
        <v>1</v>
      </c>
      <c r="D290" s="17">
        <v>59000</v>
      </c>
      <c r="E290" s="17">
        <f t="shared" si="23"/>
        <v>59000</v>
      </c>
    </row>
    <row r="291" spans="1:5" x14ac:dyDescent="0.35">
      <c r="A291" s="13">
        <f t="shared" si="24"/>
        <v>43461</v>
      </c>
      <c r="B291" s="5" t="s">
        <v>18</v>
      </c>
      <c r="C291" s="5">
        <v>1</v>
      </c>
      <c r="D291" s="17">
        <v>52000</v>
      </c>
      <c r="E291" s="17">
        <f t="shared" si="23"/>
        <v>52000</v>
      </c>
    </row>
    <row r="292" spans="1:5" x14ac:dyDescent="0.35">
      <c r="A292" s="13">
        <f t="shared" si="24"/>
        <v>43461</v>
      </c>
      <c r="B292" s="5" t="s">
        <v>156</v>
      </c>
      <c r="C292" s="5">
        <v>6</v>
      </c>
      <c r="D292" s="17">
        <v>49000</v>
      </c>
      <c r="E292" s="17">
        <f t="shared" si="23"/>
        <v>294000</v>
      </c>
    </row>
    <row r="293" spans="1:5" x14ac:dyDescent="0.35">
      <c r="A293" s="13">
        <f t="shared" si="24"/>
        <v>43461</v>
      </c>
      <c r="B293" s="5" t="s">
        <v>297</v>
      </c>
      <c r="C293" s="5">
        <v>12</v>
      </c>
      <c r="D293" s="17">
        <v>55000</v>
      </c>
      <c r="E293" s="17">
        <f t="shared" si="23"/>
        <v>660000</v>
      </c>
    </row>
    <row r="294" spans="1:5" x14ac:dyDescent="0.35">
      <c r="A294" s="13">
        <f t="shared" si="24"/>
        <v>43461</v>
      </c>
      <c r="B294" s="5" t="s">
        <v>298</v>
      </c>
      <c r="C294" s="5">
        <v>9</v>
      </c>
      <c r="D294" s="17">
        <v>59000</v>
      </c>
      <c r="E294" s="17">
        <f t="shared" si="23"/>
        <v>531000</v>
      </c>
    </row>
    <row r="295" spans="1:5" x14ac:dyDescent="0.35">
      <c r="A295" s="13">
        <f t="shared" si="24"/>
        <v>43461</v>
      </c>
      <c r="B295" s="5" t="s">
        <v>299</v>
      </c>
      <c r="C295" s="5">
        <v>66</v>
      </c>
      <c r="D295" s="17">
        <v>1500</v>
      </c>
      <c r="E295" s="17">
        <f t="shared" si="23"/>
        <v>99000</v>
      </c>
    </row>
    <row r="296" spans="1:5" x14ac:dyDescent="0.35">
      <c r="A296" s="13">
        <f t="shared" si="24"/>
        <v>43461</v>
      </c>
      <c r="B296" s="5" t="s">
        <v>300</v>
      </c>
      <c r="C296" s="5">
        <v>6</v>
      </c>
      <c r="D296" s="17">
        <v>55000</v>
      </c>
      <c r="E296" s="17">
        <f t="shared" si="23"/>
        <v>330000</v>
      </c>
    </row>
    <row r="297" spans="1:5" x14ac:dyDescent="0.35">
      <c r="A297" s="13">
        <f t="shared" si="24"/>
        <v>43461</v>
      </c>
      <c r="B297" s="5" t="s">
        <v>301</v>
      </c>
      <c r="C297" s="5">
        <v>2</v>
      </c>
      <c r="D297" s="17">
        <v>50000</v>
      </c>
      <c r="E297" s="17">
        <f t="shared" si="23"/>
        <v>100000</v>
      </c>
    </row>
    <row r="298" spans="1:5" x14ac:dyDescent="0.35">
      <c r="A298" s="13">
        <f t="shared" si="24"/>
        <v>43461</v>
      </c>
      <c r="B298" s="5" t="s">
        <v>302</v>
      </c>
      <c r="C298" s="5">
        <v>15</v>
      </c>
      <c r="D298" s="17">
        <v>8500</v>
      </c>
      <c r="E298" s="17">
        <f t="shared" si="23"/>
        <v>127500</v>
      </c>
    </row>
    <row r="299" spans="1:5" x14ac:dyDescent="0.35">
      <c r="A299" s="13">
        <f t="shared" si="24"/>
        <v>43461</v>
      </c>
      <c r="B299" s="5" t="s">
        <v>303</v>
      </c>
      <c r="C299" s="5">
        <v>6</v>
      </c>
      <c r="D299" s="17">
        <v>55000</v>
      </c>
      <c r="E299" s="17">
        <f t="shared" si="23"/>
        <v>330000</v>
      </c>
    </row>
    <row r="300" spans="1:5" x14ac:dyDescent="0.35">
      <c r="A300" s="13">
        <f t="shared" si="24"/>
        <v>43461</v>
      </c>
      <c r="B300" s="5" t="s">
        <v>13</v>
      </c>
      <c r="C300" s="5">
        <v>3</v>
      </c>
      <c r="D300" s="17">
        <v>49000</v>
      </c>
      <c r="E300" s="17">
        <f t="shared" si="23"/>
        <v>147000</v>
      </c>
    </row>
    <row r="301" spans="1:5" x14ac:dyDescent="0.35">
      <c r="A301" s="13">
        <f t="shared" si="24"/>
        <v>43461</v>
      </c>
      <c r="B301" s="5" t="s">
        <v>297</v>
      </c>
      <c r="C301" s="5">
        <v>1</v>
      </c>
      <c r="D301" s="17">
        <v>55000</v>
      </c>
      <c r="E301" s="17">
        <f t="shared" si="23"/>
        <v>55000</v>
      </c>
    </row>
    <row r="302" spans="1:5" x14ac:dyDescent="0.35">
      <c r="A302" s="13">
        <f t="shared" si="24"/>
        <v>43461</v>
      </c>
      <c r="B302" s="5" t="s">
        <v>136</v>
      </c>
      <c r="C302" s="5">
        <v>9</v>
      </c>
      <c r="D302" s="17">
        <v>57000</v>
      </c>
      <c r="E302" s="17">
        <f t="shared" si="23"/>
        <v>513000</v>
      </c>
    </row>
    <row r="303" spans="1:5" x14ac:dyDescent="0.35">
      <c r="A303" s="13">
        <f t="shared" si="24"/>
        <v>43461</v>
      </c>
      <c r="B303" s="5" t="s">
        <v>304</v>
      </c>
      <c r="C303" s="5">
        <v>5</v>
      </c>
      <c r="D303" s="17">
        <v>50000</v>
      </c>
      <c r="E303" s="17">
        <f t="shared" si="23"/>
        <v>250000</v>
      </c>
    </row>
    <row r="304" spans="1:5" x14ac:dyDescent="0.35">
      <c r="A304" s="13">
        <f t="shared" si="24"/>
        <v>43461</v>
      </c>
      <c r="B304" s="5" t="s">
        <v>305</v>
      </c>
      <c r="C304" s="5">
        <v>22</v>
      </c>
      <c r="D304" s="17">
        <v>43000</v>
      </c>
      <c r="E304" s="17">
        <f t="shared" si="23"/>
        <v>946000</v>
      </c>
    </row>
    <row r="305" spans="1:5" x14ac:dyDescent="0.35">
      <c r="A305" s="13">
        <f t="shared" si="24"/>
        <v>43461</v>
      </c>
      <c r="B305" s="5" t="s">
        <v>306</v>
      </c>
      <c r="C305" s="5">
        <v>11</v>
      </c>
      <c r="D305" s="17">
        <v>9500</v>
      </c>
      <c r="E305" s="17">
        <f t="shared" si="23"/>
        <v>104500</v>
      </c>
    </row>
    <row r="306" spans="1:5" x14ac:dyDescent="0.35">
      <c r="A306" s="13">
        <f t="shared" si="24"/>
        <v>43461</v>
      </c>
      <c r="B306" s="5" t="s">
        <v>307</v>
      </c>
      <c r="C306" s="5">
        <v>40</v>
      </c>
      <c r="D306" s="17">
        <v>8000</v>
      </c>
      <c r="E306" s="17">
        <f t="shared" si="23"/>
        <v>320000</v>
      </c>
    </row>
    <row r="307" spans="1:5" x14ac:dyDescent="0.35">
      <c r="A307" s="13">
        <f t="shared" si="24"/>
        <v>43461</v>
      </c>
      <c r="B307" s="5" t="s">
        <v>278</v>
      </c>
      <c r="C307" s="5">
        <v>1</v>
      </c>
      <c r="D307" s="17">
        <v>35000</v>
      </c>
      <c r="E307" s="17">
        <f t="shared" si="23"/>
        <v>35000</v>
      </c>
    </row>
    <row r="308" spans="1:5" x14ac:dyDescent="0.35">
      <c r="E308" s="17">
        <f t="shared" si="23"/>
        <v>0</v>
      </c>
    </row>
    <row r="309" spans="1:5" x14ac:dyDescent="0.35">
      <c r="A309" s="13">
        <v>43159</v>
      </c>
      <c r="B309" s="5" t="s">
        <v>191</v>
      </c>
      <c r="C309" s="5">
        <v>2</v>
      </c>
      <c r="D309" s="17">
        <v>48000</v>
      </c>
      <c r="E309" s="17">
        <f t="shared" si="23"/>
        <v>96000</v>
      </c>
    </row>
    <row r="310" spans="1:5" x14ac:dyDescent="0.35">
      <c r="A310" s="13">
        <f>$A$309</f>
        <v>43159</v>
      </c>
      <c r="B310" s="5" t="s">
        <v>178</v>
      </c>
      <c r="C310" s="5">
        <v>11</v>
      </c>
      <c r="D310" s="17">
        <v>50000</v>
      </c>
      <c r="E310" s="17">
        <f t="shared" si="23"/>
        <v>550000</v>
      </c>
    </row>
    <row r="311" spans="1:5" x14ac:dyDescent="0.35">
      <c r="A311" s="13">
        <f t="shared" ref="A311:A312" si="25">$A$309</f>
        <v>43159</v>
      </c>
      <c r="B311" s="5" t="s">
        <v>183</v>
      </c>
      <c r="C311" s="5">
        <v>25</v>
      </c>
      <c r="D311" s="17">
        <v>29000</v>
      </c>
      <c r="E311" s="17">
        <f t="shared" si="23"/>
        <v>725000</v>
      </c>
    </row>
    <row r="312" spans="1:5" x14ac:dyDescent="0.35">
      <c r="A312" s="13">
        <f t="shared" si="25"/>
        <v>43159</v>
      </c>
      <c r="B312" s="5" t="s">
        <v>110</v>
      </c>
      <c r="C312" s="5">
        <v>6</v>
      </c>
      <c r="D312" s="17">
        <v>49000</v>
      </c>
      <c r="E312" s="17">
        <f t="shared" si="23"/>
        <v>294000</v>
      </c>
    </row>
  </sheetData>
  <phoneticPr fontId="2" type="noConversion"/>
  <pageMargins left="0.7" right="0.7" top="0.75" bottom="0.75" header="0.3" footer="0.3"/>
  <pageSetup orientation="portrait" horizontalDpi="4294967294" verticalDpi="4294967294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9"/>
  <sheetViews>
    <sheetView tabSelected="1" workbookViewId="0">
      <selection activeCell="G37" sqref="G37"/>
    </sheetView>
  </sheetViews>
  <sheetFormatPr defaultRowHeight="15.5" x14ac:dyDescent="0.35"/>
  <cols>
    <col min="1" max="1" width="10.83203125" style="1" customWidth="1"/>
    <col min="2" max="2" width="26.83203125" customWidth="1"/>
    <col min="3" max="3" width="12" customWidth="1"/>
    <col min="4" max="5" width="17.4140625" style="34" customWidth="1"/>
    <col min="6" max="6" width="15.25" style="1" customWidth="1"/>
    <col min="7" max="7" width="10.1640625" customWidth="1"/>
    <col min="8" max="8" width="15.75" style="34" customWidth="1"/>
  </cols>
  <sheetData>
    <row r="1" spans="1:8" x14ac:dyDescent="0.35">
      <c r="A1" s="43" t="s">
        <v>834</v>
      </c>
      <c r="B1" s="2" t="s">
        <v>835</v>
      </c>
      <c r="C1" s="2" t="s">
        <v>836</v>
      </c>
      <c r="D1" s="31" t="s">
        <v>837</v>
      </c>
      <c r="E1" s="31" t="s">
        <v>838</v>
      </c>
      <c r="F1" s="44" t="s">
        <v>839</v>
      </c>
      <c r="G1" s="2" t="s">
        <v>840</v>
      </c>
      <c r="H1" s="36" t="s">
        <v>841</v>
      </c>
    </row>
    <row r="2" spans="1:8" x14ac:dyDescent="0.35">
      <c r="A2" s="28"/>
      <c r="B2" s="3"/>
      <c r="C2" s="3"/>
      <c r="D2" s="32"/>
      <c r="E2" s="32"/>
      <c r="F2" s="29"/>
      <c r="G2" s="3"/>
      <c r="H2" s="37"/>
    </row>
    <row r="3" spans="1:8" x14ac:dyDescent="0.35">
      <c r="A3" s="28">
        <v>43160</v>
      </c>
      <c r="B3" s="3" t="s">
        <v>118</v>
      </c>
      <c r="C3" s="3">
        <v>1</v>
      </c>
      <c r="D3" s="32">
        <v>45000</v>
      </c>
      <c r="E3" s="32">
        <f>D3*C3</f>
        <v>45000</v>
      </c>
      <c r="F3" s="29">
        <v>43161</v>
      </c>
      <c r="G3" s="3" t="s">
        <v>310</v>
      </c>
      <c r="H3" s="37">
        <v>500000</v>
      </c>
    </row>
    <row r="4" spans="1:8" x14ac:dyDescent="0.35">
      <c r="A4" s="28">
        <v>43160</v>
      </c>
      <c r="B4" s="3" t="s">
        <v>252</v>
      </c>
      <c r="C4" s="3">
        <v>1</v>
      </c>
      <c r="D4" s="32">
        <v>50000</v>
      </c>
      <c r="E4" s="32">
        <f t="shared" ref="E4:E67" si="0">D4*C4</f>
        <v>50000</v>
      </c>
      <c r="F4" s="29"/>
      <c r="G4" s="3"/>
      <c r="H4" s="37"/>
    </row>
    <row r="5" spans="1:8" x14ac:dyDescent="0.35">
      <c r="A5" s="28">
        <v>43160</v>
      </c>
      <c r="B5" s="3" t="s">
        <v>280</v>
      </c>
      <c r="C5" s="3">
        <v>1</v>
      </c>
      <c r="D5" s="32">
        <v>46000</v>
      </c>
      <c r="E5" s="32">
        <f t="shared" si="0"/>
        <v>46000</v>
      </c>
      <c r="F5" s="29">
        <v>43162</v>
      </c>
      <c r="G5" s="3" t="s">
        <v>236</v>
      </c>
      <c r="H5" s="37">
        <v>150000</v>
      </c>
    </row>
    <row r="6" spans="1:8" x14ac:dyDescent="0.35">
      <c r="A6" s="28">
        <v>43160</v>
      </c>
      <c r="B6" s="3" t="s">
        <v>183</v>
      </c>
      <c r="C6" s="3">
        <v>25</v>
      </c>
      <c r="D6" s="32">
        <v>28000</v>
      </c>
      <c r="E6" s="32">
        <f t="shared" si="0"/>
        <v>700000</v>
      </c>
      <c r="F6" s="29">
        <v>43162</v>
      </c>
      <c r="G6" s="3" t="s">
        <v>77</v>
      </c>
      <c r="H6" s="37">
        <v>390000</v>
      </c>
    </row>
    <row r="7" spans="1:8" x14ac:dyDescent="0.35">
      <c r="A7" s="28">
        <v>43160</v>
      </c>
      <c r="B7" s="3" t="s">
        <v>112</v>
      </c>
      <c r="C7" s="3">
        <v>80</v>
      </c>
      <c r="D7" s="32">
        <v>42000</v>
      </c>
      <c r="E7" s="32">
        <f t="shared" si="0"/>
        <v>3360000</v>
      </c>
      <c r="F7" s="29"/>
      <c r="G7" s="3"/>
      <c r="H7" s="37"/>
    </row>
    <row r="8" spans="1:8" x14ac:dyDescent="0.35">
      <c r="A8" s="28"/>
      <c r="B8" s="3"/>
      <c r="C8" s="3"/>
      <c r="D8" s="32"/>
      <c r="E8" s="32">
        <f t="shared" si="0"/>
        <v>0</v>
      </c>
      <c r="F8" s="29">
        <v>43166</v>
      </c>
      <c r="G8" s="3" t="s">
        <v>196</v>
      </c>
      <c r="H8" s="37">
        <v>20000</v>
      </c>
    </row>
    <row r="9" spans="1:8" x14ac:dyDescent="0.35">
      <c r="A9" s="28">
        <v>43161</v>
      </c>
      <c r="B9" s="3" t="s">
        <v>311</v>
      </c>
      <c r="C9" s="3">
        <v>1</v>
      </c>
      <c r="D9" s="32">
        <v>2000</v>
      </c>
      <c r="E9" s="32">
        <f t="shared" si="0"/>
        <v>2000</v>
      </c>
      <c r="F9" s="29"/>
      <c r="G9" s="3"/>
      <c r="H9" s="37"/>
    </row>
    <row r="10" spans="1:8" x14ac:dyDescent="0.35">
      <c r="A10" s="28">
        <f>$A$9</f>
        <v>43161</v>
      </c>
      <c r="B10" s="3" t="s">
        <v>312</v>
      </c>
      <c r="C10" s="3">
        <v>1</v>
      </c>
      <c r="D10" s="32">
        <v>2000</v>
      </c>
      <c r="E10" s="32">
        <f t="shared" si="0"/>
        <v>2000</v>
      </c>
      <c r="F10" s="29">
        <v>43168</v>
      </c>
      <c r="G10" s="3" t="s">
        <v>308</v>
      </c>
      <c r="H10" s="37">
        <v>150000</v>
      </c>
    </row>
    <row r="11" spans="1:8" x14ac:dyDescent="0.35">
      <c r="A11" s="28">
        <f t="shared" ref="A11:A19" si="1">$A$9</f>
        <v>43161</v>
      </c>
      <c r="B11" s="3" t="s">
        <v>185</v>
      </c>
      <c r="C11" s="3">
        <v>2</v>
      </c>
      <c r="D11" s="32">
        <v>46000</v>
      </c>
      <c r="E11" s="32">
        <f t="shared" si="0"/>
        <v>92000</v>
      </c>
      <c r="F11" s="29">
        <v>43168</v>
      </c>
      <c r="G11" s="3" t="s">
        <v>16</v>
      </c>
      <c r="H11" s="37">
        <v>25000</v>
      </c>
    </row>
    <row r="12" spans="1:8" x14ac:dyDescent="0.35">
      <c r="A12" s="28">
        <f t="shared" si="1"/>
        <v>43161</v>
      </c>
      <c r="B12" s="3" t="s">
        <v>313</v>
      </c>
      <c r="C12" s="3">
        <v>2</v>
      </c>
      <c r="D12" s="32">
        <v>45000</v>
      </c>
      <c r="E12" s="32">
        <f t="shared" si="0"/>
        <v>90000</v>
      </c>
      <c r="F12" s="29"/>
      <c r="G12" s="3"/>
      <c r="H12" s="37"/>
    </row>
    <row r="13" spans="1:8" x14ac:dyDescent="0.35">
      <c r="A13" s="28">
        <f t="shared" si="1"/>
        <v>43161</v>
      </c>
      <c r="B13" s="3" t="s">
        <v>35</v>
      </c>
      <c r="C13" s="3">
        <v>7</v>
      </c>
      <c r="D13" s="32">
        <v>37000</v>
      </c>
      <c r="E13" s="32">
        <f t="shared" si="0"/>
        <v>259000</v>
      </c>
      <c r="F13" s="29">
        <v>43169</v>
      </c>
      <c r="G13" s="3" t="s">
        <v>77</v>
      </c>
      <c r="H13" s="37">
        <v>260000</v>
      </c>
    </row>
    <row r="14" spans="1:8" x14ac:dyDescent="0.35">
      <c r="A14" s="28">
        <f t="shared" si="1"/>
        <v>43161</v>
      </c>
      <c r="B14" s="3" t="s">
        <v>80</v>
      </c>
      <c r="C14" s="3">
        <v>1</v>
      </c>
      <c r="D14" s="32">
        <v>14000</v>
      </c>
      <c r="E14" s="32">
        <f t="shared" si="0"/>
        <v>14000</v>
      </c>
      <c r="F14" s="29">
        <v>43169</v>
      </c>
      <c r="G14" s="3" t="s">
        <v>340</v>
      </c>
      <c r="H14" s="37">
        <v>1075000</v>
      </c>
    </row>
    <row r="15" spans="1:8" x14ac:dyDescent="0.35">
      <c r="A15" s="28">
        <f t="shared" si="1"/>
        <v>43161</v>
      </c>
      <c r="B15" s="3" t="s">
        <v>35</v>
      </c>
      <c r="C15" s="3">
        <v>2</v>
      </c>
      <c r="D15" s="32">
        <v>37000</v>
      </c>
      <c r="E15" s="32">
        <f t="shared" si="0"/>
        <v>74000</v>
      </c>
      <c r="F15" s="29"/>
      <c r="G15" s="3"/>
      <c r="H15" s="37"/>
    </row>
    <row r="16" spans="1:8" x14ac:dyDescent="0.35">
      <c r="A16" s="28">
        <f t="shared" si="1"/>
        <v>43161</v>
      </c>
      <c r="B16" s="3" t="s">
        <v>200</v>
      </c>
      <c r="C16" s="3">
        <v>2</v>
      </c>
      <c r="D16" s="32">
        <v>46000</v>
      </c>
      <c r="E16" s="32">
        <f t="shared" si="0"/>
        <v>92000</v>
      </c>
      <c r="F16" s="29">
        <v>43171</v>
      </c>
      <c r="G16" s="3" t="s">
        <v>340</v>
      </c>
      <c r="H16" s="37">
        <v>100000</v>
      </c>
    </row>
    <row r="17" spans="1:8" x14ac:dyDescent="0.35">
      <c r="A17" s="28">
        <f t="shared" si="1"/>
        <v>43161</v>
      </c>
      <c r="B17" s="3" t="s">
        <v>85</v>
      </c>
      <c r="C17" s="3">
        <v>1</v>
      </c>
      <c r="D17" s="32">
        <v>45000</v>
      </c>
      <c r="E17" s="32">
        <f t="shared" si="0"/>
        <v>45000</v>
      </c>
      <c r="F17" s="29"/>
      <c r="G17" s="3"/>
      <c r="H17" s="37"/>
    </row>
    <row r="18" spans="1:8" x14ac:dyDescent="0.35">
      <c r="A18" s="28">
        <f t="shared" si="1"/>
        <v>43161</v>
      </c>
      <c r="B18" s="3" t="s">
        <v>60</v>
      </c>
      <c r="C18" s="3">
        <v>3</v>
      </c>
      <c r="D18" s="32">
        <v>54000</v>
      </c>
      <c r="E18" s="32">
        <f t="shared" si="0"/>
        <v>162000</v>
      </c>
      <c r="F18" s="29">
        <v>43173</v>
      </c>
      <c r="G18" s="3" t="s">
        <v>78</v>
      </c>
      <c r="H18" s="37">
        <v>922000</v>
      </c>
    </row>
    <row r="19" spans="1:8" x14ac:dyDescent="0.35">
      <c r="A19" s="28">
        <f t="shared" si="1"/>
        <v>43161</v>
      </c>
      <c r="B19" s="3" t="s">
        <v>4</v>
      </c>
      <c r="C19" s="3">
        <v>2</v>
      </c>
      <c r="D19" s="32">
        <v>38000</v>
      </c>
      <c r="E19" s="32">
        <f t="shared" si="0"/>
        <v>76000</v>
      </c>
      <c r="F19" s="29"/>
      <c r="G19" s="3"/>
      <c r="H19" s="37"/>
    </row>
    <row r="20" spans="1:8" x14ac:dyDescent="0.35">
      <c r="A20" s="28"/>
      <c r="B20" s="3"/>
      <c r="C20" s="3"/>
      <c r="D20" s="32"/>
      <c r="E20" s="32">
        <f t="shared" si="0"/>
        <v>0</v>
      </c>
      <c r="F20" s="29">
        <v>43174</v>
      </c>
      <c r="G20" s="3" t="s">
        <v>14</v>
      </c>
      <c r="H20" s="37">
        <v>16000</v>
      </c>
    </row>
    <row r="21" spans="1:8" x14ac:dyDescent="0.35">
      <c r="A21" s="28">
        <v>43162</v>
      </c>
      <c r="B21" s="3" t="s">
        <v>85</v>
      </c>
      <c r="C21" s="3">
        <v>2</v>
      </c>
      <c r="D21" s="32">
        <v>45000</v>
      </c>
      <c r="E21" s="32">
        <f t="shared" si="0"/>
        <v>90000</v>
      </c>
      <c r="F21" s="29">
        <v>43174</v>
      </c>
      <c r="G21" s="3" t="s">
        <v>17</v>
      </c>
      <c r="H21" s="37">
        <v>100000</v>
      </c>
    </row>
    <row r="22" spans="1:8" x14ac:dyDescent="0.35">
      <c r="A22" s="28">
        <f>$A$21</f>
        <v>43162</v>
      </c>
      <c r="B22" s="3" t="s">
        <v>4</v>
      </c>
      <c r="C22" s="3">
        <v>17</v>
      </c>
      <c r="D22" s="32">
        <v>38000</v>
      </c>
      <c r="E22" s="32">
        <f t="shared" si="0"/>
        <v>646000</v>
      </c>
      <c r="F22" s="29"/>
      <c r="G22" s="3"/>
      <c r="H22" s="37"/>
    </row>
    <row r="23" spans="1:8" x14ac:dyDescent="0.35">
      <c r="A23" s="28">
        <f t="shared" ref="A23:A34" si="2">$A$21</f>
        <v>43162</v>
      </c>
      <c r="B23" s="3" t="s">
        <v>314</v>
      </c>
      <c r="C23" s="3">
        <v>3</v>
      </c>
      <c r="D23" s="32">
        <v>36000</v>
      </c>
      <c r="E23" s="32">
        <f t="shared" si="0"/>
        <v>108000</v>
      </c>
      <c r="F23" s="29">
        <v>43176</v>
      </c>
      <c r="G23" s="3" t="s">
        <v>77</v>
      </c>
      <c r="H23" s="37">
        <v>390000</v>
      </c>
    </row>
    <row r="24" spans="1:8" x14ac:dyDescent="0.35">
      <c r="A24" s="28">
        <f t="shared" si="2"/>
        <v>43162</v>
      </c>
      <c r="B24" s="3" t="s">
        <v>200</v>
      </c>
      <c r="C24" s="3">
        <v>1</v>
      </c>
      <c r="D24" s="32">
        <v>46000</v>
      </c>
      <c r="E24" s="32">
        <f t="shared" si="0"/>
        <v>46000</v>
      </c>
      <c r="F24" s="29"/>
      <c r="G24" s="3"/>
      <c r="H24" s="37"/>
    </row>
    <row r="25" spans="1:8" x14ac:dyDescent="0.35">
      <c r="A25" s="28">
        <f t="shared" si="2"/>
        <v>43162</v>
      </c>
      <c r="B25" s="3" t="s">
        <v>315</v>
      </c>
      <c r="C25" s="3">
        <v>1</v>
      </c>
      <c r="D25" s="32">
        <v>45000</v>
      </c>
      <c r="E25" s="32">
        <f t="shared" si="0"/>
        <v>45000</v>
      </c>
      <c r="F25" s="29">
        <v>43178</v>
      </c>
      <c r="G25" s="3" t="s">
        <v>121</v>
      </c>
      <c r="H25" s="37">
        <v>93000</v>
      </c>
    </row>
    <row r="26" spans="1:8" x14ac:dyDescent="0.35">
      <c r="A26" s="28">
        <f t="shared" si="2"/>
        <v>43162</v>
      </c>
      <c r="B26" s="3" t="s">
        <v>169</v>
      </c>
      <c r="C26" s="3">
        <v>8</v>
      </c>
      <c r="D26" s="32">
        <v>59000</v>
      </c>
      <c r="E26" s="32">
        <f t="shared" si="0"/>
        <v>472000</v>
      </c>
      <c r="F26" s="29"/>
      <c r="G26" s="3"/>
      <c r="H26" s="37"/>
    </row>
    <row r="27" spans="1:8" x14ac:dyDescent="0.35">
      <c r="A27" s="28">
        <f t="shared" si="2"/>
        <v>43162</v>
      </c>
      <c r="B27" s="3" t="s">
        <v>132</v>
      </c>
      <c r="C27" s="3">
        <v>2</v>
      </c>
      <c r="D27" s="32">
        <v>54000</v>
      </c>
      <c r="E27" s="32">
        <f t="shared" si="0"/>
        <v>108000</v>
      </c>
      <c r="F27" s="29">
        <v>43180</v>
      </c>
      <c r="G27" s="3" t="s">
        <v>236</v>
      </c>
      <c r="H27" s="37">
        <v>150000</v>
      </c>
    </row>
    <row r="28" spans="1:8" x14ac:dyDescent="0.35">
      <c r="A28" s="28">
        <f t="shared" si="2"/>
        <v>43162</v>
      </c>
      <c r="B28" s="3" t="s">
        <v>316</v>
      </c>
      <c r="C28" s="3">
        <v>18</v>
      </c>
      <c r="D28" s="32">
        <v>8500</v>
      </c>
      <c r="E28" s="32">
        <f t="shared" si="0"/>
        <v>153000</v>
      </c>
      <c r="F28" s="29"/>
      <c r="G28" s="3"/>
      <c r="H28" s="37"/>
    </row>
    <row r="29" spans="1:8" x14ac:dyDescent="0.35">
      <c r="A29" s="28">
        <f t="shared" si="2"/>
        <v>43162</v>
      </c>
      <c r="B29" s="3" t="s">
        <v>254</v>
      </c>
      <c r="C29" s="3">
        <v>1</v>
      </c>
      <c r="D29" s="32">
        <v>98000</v>
      </c>
      <c r="E29" s="32">
        <f t="shared" si="0"/>
        <v>98000</v>
      </c>
      <c r="F29" s="29">
        <v>43180</v>
      </c>
      <c r="G29" s="3" t="s">
        <v>196</v>
      </c>
      <c r="H29" s="37">
        <v>20000</v>
      </c>
    </row>
    <row r="30" spans="1:8" x14ac:dyDescent="0.35">
      <c r="A30" s="28">
        <f t="shared" si="2"/>
        <v>43162</v>
      </c>
      <c r="B30" s="3" t="s">
        <v>258</v>
      </c>
      <c r="C30" s="3">
        <v>1</v>
      </c>
      <c r="D30" s="32">
        <v>10000</v>
      </c>
      <c r="E30" s="32">
        <f t="shared" si="0"/>
        <v>10000</v>
      </c>
      <c r="F30" s="29"/>
      <c r="G30" s="3"/>
      <c r="H30" s="37"/>
    </row>
    <row r="31" spans="1:8" x14ac:dyDescent="0.35">
      <c r="A31" s="28">
        <f t="shared" si="2"/>
        <v>43162</v>
      </c>
      <c r="B31" s="3" t="s">
        <v>3</v>
      </c>
      <c r="C31" s="3">
        <v>1</v>
      </c>
      <c r="D31" s="32">
        <v>50000</v>
      </c>
      <c r="E31" s="32">
        <f t="shared" si="0"/>
        <v>50000</v>
      </c>
      <c r="F31" s="29">
        <v>43187</v>
      </c>
      <c r="G31" s="3" t="s">
        <v>236</v>
      </c>
      <c r="H31" s="37">
        <v>30000</v>
      </c>
    </row>
    <row r="32" spans="1:8" x14ac:dyDescent="0.35">
      <c r="A32" s="28">
        <f t="shared" si="2"/>
        <v>43162</v>
      </c>
      <c r="B32" s="3" t="s">
        <v>298</v>
      </c>
      <c r="C32" s="3">
        <v>1</v>
      </c>
      <c r="D32" s="32">
        <v>59000</v>
      </c>
      <c r="E32" s="32">
        <f t="shared" si="0"/>
        <v>59000</v>
      </c>
      <c r="F32" s="29"/>
      <c r="G32" s="3"/>
      <c r="H32" s="37"/>
    </row>
    <row r="33" spans="1:8" x14ac:dyDescent="0.35">
      <c r="A33" s="28">
        <f t="shared" si="2"/>
        <v>43162</v>
      </c>
      <c r="B33" s="3" t="s">
        <v>4</v>
      </c>
      <c r="C33" s="3">
        <v>1</v>
      </c>
      <c r="D33" s="32">
        <v>38000</v>
      </c>
      <c r="E33" s="32">
        <f t="shared" si="0"/>
        <v>38000</v>
      </c>
      <c r="F33" s="29">
        <v>43190</v>
      </c>
      <c r="G33" s="3" t="s">
        <v>77</v>
      </c>
      <c r="H33" s="37">
        <v>390000</v>
      </c>
    </row>
    <row r="34" spans="1:8" x14ac:dyDescent="0.35">
      <c r="A34" s="28">
        <f t="shared" si="2"/>
        <v>43162</v>
      </c>
      <c r="B34" s="3" t="s">
        <v>35</v>
      </c>
      <c r="C34" s="3">
        <v>2</v>
      </c>
      <c r="D34" s="32">
        <v>37000</v>
      </c>
      <c r="E34" s="32">
        <f t="shared" si="0"/>
        <v>74000</v>
      </c>
      <c r="F34" s="29">
        <v>43190</v>
      </c>
      <c r="G34" s="3" t="s">
        <v>236</v>
      </c>
      <c r="H34" s="37">
        <v>100000</v>
      </c>
    </row>
    <row r="35" spans="1:8" x14ac:dyDescent="0.35">
      <c r="A35" s="28"/>
      <c r="B35" s="3"/>
      <c r="C35" s="3"/>
      <c r="D35" s="32"/>
      <c r="E35" s="32">
        <f t="shared" si="0"/>
        <v>0</v>
      </c>
      <c r="F35" s="30"/>
      <c r="G35" s="3"/>
      <c r="H35" s="37"/>
    </row>
    <row r="36" spans="1:8" x14ac:dyDescent="0.35">
      <c r="A36" s="28">
        <v>43163</v>
      </c>
      <c r="B36" s="3" t="s">
        <v>318</v>
      </c>
      <c r="C36" s="3">
        <v>3</v>
      </c>
      <c r="D36" s="32">
        <v>45000</v>
      </c>
      <c r="E36" s="32">
        <f t="shared" si="0"/>
        <v>135000</v>
      </c>
      <c r="F36" s="46" t="s">
        <v>838</v>
      </c>
      <c r="G36" s="46"/>
      <c r="H36" s="37">
        <f>SUM(H2:H35)</f>
        <v>4881000</v>
      </c>
    </row>
    <row r="37" spans="1:8" x14ac:dyDescent="0.35">
      <c r="A37" s="28">
        <f>$A$36</f>
        <v>43163</v>
      </c>
      <c r="B37" s="3" t="s">
        <v>319</v>
      </c>
      <c r="C37" s="3">
        <v>2</v>
      </c>
      <c r="D37" s="32">
        <v>40000</v>
      </c>
      <c r="E37" s="32">
        <f t="shared" si="0"/>
        <v>80000</v>
      </c>
      <c r="F37" s="30"/>
      <c r="G37" s="3"/>
      <c r="H37" s="37"/>
    </row>
    <row r="38" spans="1:8" x14ac:dyDescent="0.35">
      <c r="A38" s="28">
        <f t="shared" ref="A38:A45" si="3">$A$36</f>
        <v>43163</v>
      </c>
      <c r="B38" s="3" t="s">
        <v>188</v>
      </c>
      <c r="C38" s="3">
        <v>1</v>
      </c>
      <c r="D38" s="32">
        <v>43000</v>
      </c>
      <c r="E38" s="32">
        <f t="shared" si="0"/>
        <v>43000</v>
      </c>
      <c r="F38" s="30"/>
      <c r="G38" s="3"/>
      <c r="H38" s="37"/>
    </row>
    <row r="39" spans="1:8" x14ac:dyDescent="0.35">
      <c r="A39" s="28">
        <f t="shared" si="3"/>
        <v>43163</v>
      </c>
      <c r="B39" s="3" t="s">
        <v>224</v>
      </c>
      <c r="C39" s="3">
        <v>5</v>
      </c>
      <c r="D39" s="32">
        <v>52000</v>
      </c>
      <c r="E39" s="32">
        <f t="shared" si="0"/>
        <v>260000</v>
      </c>
      <c r="F39" s="30"/>
      <c r="G39" s="3"/>
      <c r="H39" s="37"/>
    </row>
    <row r="40" spans="1:8" x14ac:dyDescent="0.35">
      <c r="A40" s="28">
        <f t="shared" si="3"/>
        <v>43163</v>
      </c>
      <c r="B40" s="3" t="s">
        <v>320</v>
      </c>
      <c r="C40" s="3">
        <v>2</v>
      </c>
      <c r="D40" s="32">
        <v>48000</v>
      </c>
      <c r="E40" s="32">
        <f t="shared" si="0"/>
        <v>96000</v>
      </c>
      <c r="F40" s="30"/>
      <c r="G40" s="3"/>
      <c r="H40" s="37"/>
    </row>
    <row r="41" spans="1:8" x14ac:dyDescent="0.35">
      <c r="A41" s="28">
        <f t="shared" si="3"/>
        <v>43163</v>
      </c>
      <c r="B41" s="3" t="s">
        <v>321</v>
      </c>
      <c r="C41" s="3">
        <v>50</v>
      </c>
      <c r="D41" s="32">
        <v>50000</v>
      </c>
      <c r="E41" s="32">
        <f t="shared" si="0"/>
        <v>2500000</v>
      </c>
      <c r="F41" s="30"/>
      <c r="G41" s="3"/>
      <c r="H41" s="37"/>
    </row>
    <row r="42" spans="1:8" x14ac:dyDescent="0.35">
      <c r="A42" s="28">
        <f t="shared" si="3"/>
        <v>43163</v>
      </c>
      <c r="B42" s="3" t="s">
        <v>301</v>
      </c>
      <c r="C42" s="3">
        <v>4</v>
      </c>
      <c r="D42" s="32">
        <v>50000</v>
      </c>
      <c r="E42" s="32">
        <f t="shared" si="0"/>
        <v>200000</v>
      </c>
      <c r="F42" s="30"/>
      <c r="G42" s="3"/>
      <c r="H42" s="37"/>
    </row>
    <row r="43" spans="1:8" x14ac:dyDescent="0.35">
      <c r="A43" s="28">
        <f t="shared" si="3"/>
        <v>43163</v>
      </c>
      <c r="B43" s="3" t="s">
        <v>322</v>
      </c>
      <c r="C43" s="3">
        <v>6</v>
      </c>
      <c r="D43" s="32">
        <v>38000</v>
      </c>
      <c r="E43" s="32">
        <f t="shared" si="0"/>
        <v>228000</v>
      </c>
      <c r="F43" s="30"/>
      <c r="G43" s="3"/>
      <c r="H43" s="37"/>
    </row>
    <row r="44" spans="1:8" x14ac:dyDescent="0.35">
      <c r="A44" s="28">
        <f t="shared" si="3"/>
        <v>43163</v>
      </c>
      <c r="B44" s="3" t="s">
        <v>125</v>
      </c>
      <c r="C44" s="3">
        <v>14</v>
      </c>
      <c r="D44" s="32">
        <v>38000</v>
      </c>
      <c r="E44" s="32">
        <f t="shared" si="0"/>
        <v>532000</v>
      </c>
      <c r="F44" s="30"/>
      <c r="G44" s="3"/>
      <c r="H44" s="37"/>
    </row>
    <row r="45" spans="1:8" x14ac:dyDescent="0.35">
      <c r="A45" s="28">
        <f t="shared" si="3"/>
        <v>43163</v>
      </c>
      <c r="B45" s="3" t="s">
        <v>317</v>
      </c>
      <c r="C45" s="3">
        <v>4</v>
      </c>
      <c r="D45" s="32">
        <v>48000</v>
      </c>
      <c r="E45" s="32">
        <f t="shared" si="0"/>
        <v>192000</v>
      </c>
      <c r="F45" s="30"/>
      <c r="G45" s="3"/>
      <c r="H45" s="37"/>
    </row>
    <row r="46" spans="1:8" x14ac:dyDescent="0.35">
      <c r="A46" s="28"/>
      <c r="B46" s="3"/>
      <c r="C46" s="3"/>
      <c r="D46" s="32"/>
      <c r="E46" s="32">
        <f t="shared" si="0"/>
        <v>0</v>
      </c>
      <c r="F46" s="30"/>
      <c r="G46" s="3"/>
      <c r="H46" s="37"/>
    </row>
    <row r="47" spans="1:8" x14ac:dyDescent="0.35">
      <c r="A47" s="28">
        <v>43165</v>
      </c>
      <c r="B47" s="3" t="s">
        <v>323</v>
      </c>
      <c r="C47" s="3">
        <v>20</v>
      </c>
      <c r="D47" s="32">
        <v>1600</v>
      </c>
      <c r="E47" s="32">
        <f t="shared" si="0"/>
        <v>32000</v>
      </c>
      <c r="F47" s="30"/>
      <c r="G47" s="3"/>
      <c r="H47" s="37"/>
    </row>
    <row r="48" spans="1:8" x14ac:dyDescent="0.35">
      <c r="A48" s="28">
        <f>$A$47</f>
        <v>43165</v>
      </c>
      <c r="B48" s="3" t="s">
        <v>319</v>
      </c>
      <c r="C48" s="3">
        <v>2</v>
      </c>
      <c r="D48" s="32">
        <v>40000</v>
      </c>
      <c r="E48" s="32">
        <f t="shared" si="0"/>
        <v>80000</v>
      </c>
      <c r="F48" s="30"/>
      <c r="G48" s="3"/>
      <c r="H48" s="37"/>
    </row>
    <row r="49" spans="1:8" x14ac:dyDescent="0.35">
      <c r="A49" s="28">
        <f t="shared" ref="A49:A52" si="4">$A$47</f>
        <v>43165</v>
      </c>
      <c r="B49" s="3" t="s">
        <v>30</v>
      </c>
      <c r="C49" s="3">
        <v>11</v>
      </c>
      <c r="D49" s="32">
        <v>47000</v>
      </c>
      <c r="E49" s="32">
        <f t="shared" si="0"/>
        <v>517000</v>
      </c>
      <c r="F49" s="30"/>
      <c r="G49" s="3"/>
      <c r="H49" s="37"/>
    </row>
    <row r="50" spans="1:8" x14ac:dyDescent="0.35">
      <c r="A50" s="28">
        <f t="shared" si="4"/>
        <v>43165</v>
      </c>
      <c r="B50" s="3" t="s">
        <v>112</v>
      </c>
      <c r="C50" s="3">
        <v>24</v>
      </c>
      <c r="D50" s="32">
        <v>43500</v>
      </c>
      <c r="E50" s="32">
        <f t="shared" si="0"/>
        <v>1044000</v>
      </c>
      <c r="F50" s="30"/>
      <c r="G50" s="3"/>
      <c r="H50" s="37"/>
    </row>
    <row r="51" spans="1:8" x14ac:dyDescent="0.35">
      <c r="A51" s="28">
        <f t="shared" si="4"/>
        <v>43165</v>
      </c>
      <c r="B51" s="3" t="s">
        <v>187</v>
      </c>
      <c r="C51" s="3">
        <v>8</v>
      </c>
      <c r="D51" s="32">
        <v>47000</v>
      </c>
      <c r="E51" s="32">
        <f t="shared" si="0"/>
        <v>376000</v>
      </c>
      <c r="F51" s="30"/>
      <c r="G51" s="3"/>
      <c r="H51" s="37"/>
    </row>
    <row r="52" spans="1:8" x14ac:dyDescent="0.35">
      <c r="A52" s="28">
        <f t="shared" si="4"/>
        <v>43165</v>
      </c>
      <c r="B52" s="3" t="s">
        <v>60</v>
      </c>
      <c r="C52" s="3">
        <v>2</v>
      </c>
      <c r="D52" s="32">
        <v>54000</v>
      </c>
      <c r="E52" s="32">
        <f t="shared" si="0"/>
        <v>108000</v>
      </c>
      <c r="F52" s="30"/>
      <c r="G52" s="3"/>
      <c r="H52" s="37"/>
    </row>
    <row r="53" spans="1:8" x14ac:dyDescent="0.35">
      <c r="A53" s="28"/>
      <c r="B53" s="3"/>
      <c r="C53" s="3"/>
      <c r="D53" s="32"/>
      <c r="E53" s="32">
        <f t="shared" si="0"/>
        <v>0</v>
      </c>
      <c r="F53" s="30"/>
      <c r="G53" s="3"/>
      <c r="H53" s="37"/>
    </row>
    <row r="54" spans="1:8" x14ac:dyDescent="0.35">
      <c r="A54" s="28">
        <v>43166</v>
      </c>
      <c r="B54" s="3" t="s">
        <v>60</v>
      </c>
      <c r="C54" s="3">
        <v>1</v>
      </c>
      <c r="D54" s="32">
        <v>54000</v>
      </c>
      <c r="E54" s="32">
        <f t="shared" si="0"/>
        <v>54000</v>
      </c>
      <c r="F54" s="30"/>
      <c r="G54" s="3"/>
      <c r="H54" s="37"/>
    </row>
    <row r="55" spans="1:8" x14ac:dyDescent="0.35">
      <c r="A55" s="28">
        <f>$A$54</f>
        <v>43166</v>
      </c>
      <c r="B55" s="3" t="s">
        <v>107</v>
      </c>
      <c r="C55" s="3">
        <v>15</v>
      </c>
      <c r="D55" s="32">
        <v>1600</v>
      </c>
      <c r="E55" s="32">
        <f t="shared" si="0"/>
        <v>24000</v>
      </c>
      <c r="F55" s="30"/>
      <c r="G55" s="3"/>
      <c r="H55" s="37"/>
    </row>
    <row r="56" spans="1:8" x14ac:dyDescent="0.35">
      <c r="A56" s="28">
        <f t="shared" ref="A56:A67" si="5">$A$54</f>
        <v>43166</v>
      </c>
      <c r="B56" s="3" t="s">
        <v>129</v>
      </c>
      <c r="C56" s="3">
        <v>1</v>
      </c>
      <c r="D56" s="32">
        <v>14000</v>
      </c>
      <c r="E56" s="32">
        <f t="shared" si="0"/>
        <v>14000</v>
      </c>
      <c r="F56" s="30"/>
      <c r="G56" s="3"/>
      <c r="H56" s="37"/>
    </row>
    <row r="57" spans="1:8" x14ac:dyDescent="0.35">
      <c r="A57" s="28">
        <f t="shared" si="5"/>
        <v>43166</v>
      </c>
      <c r="B57" s="3" t="s">
        <v>188</v>
      </c>
      <c r="C57" s="3">
        <v>3</v>
      </c>
      <c r="D57" s="32">
        <v>46000</v>
      </c>
      <c r="E57" s="32">
        <f t="shared" si="0"/>
        <v>138000</v>
      </c>
      <c r="F57" s="30"/>
      <c r="G57" s="3"/>
      <c r="H57" s="37"/>
    </row>
    <row r="58" spans="1:8" x14ac:dyDescent="0.35">
      <c r="A58" s="28">
        <f t="shared" si="5"/>
        <v>43166</v>
      </c>
      <c r="B58" s="3" t="s">
        <v>324</v>
      </c>
      <c r="C58" s="3">
        <v>2</v>
      </c>
      <c r="D58" s="32">
        <v>47000</v>
      </c>
      <c r="E58" s="32">
        <f t="shared" si="0"/>
        <v>94000</v>
      </c>
      <c r="F58" s="30"/>
      <c r="G58" s="3"/>
      <c r="H58" s="37"/>
    </row>
    <row r="59" spans="1:8" x14ac:dyDescent="0.35">
      <c r="A59" s="28">
        <f t="shared" si="5"/>
        <v>43166</v>
      </c>
      <c r="B59" s="3" t="s">
        <v>24</v>
      </c>
      <c r="C59" s="3">
        <v>4</v>
      </c>
      <c r="D59" s="32">
        <v>58000</v>
      </c>
      <c r="E59" s="32">
        <f t="shared" si="0"/>
        <v>232000</v>
      </c>
      <c r="F59" s="30"/>
      <c r="G59" s="3"/>
      <c r="H59" s="37"/>
    </row>
    <row r="60" spans="1:8" x14ac:dyDescent="0.35">
      <c r="A60" s="28">
        <f t="shared" si="5"/>
        <v>43166</v>
      </c>
      <c r="B60" s="3" t="s">
        <v>125</v>
      </c>
      <c r="C60" s="3">
        <v>24</v>
      </c>
      <c r="D60" s="32">
        <v>37500</v>
      </c>
      <c r="E60" s="32">
        <f t="shared" si="0"/>
        <v>900000</v>
      </c>
      <c r="F60" s="30"/>
      <c r="G60" s="3"/>
      <c r="H60" s="37"/>
    </row>
    <row r="61" spans="1:8" x14ac:dyDescent="0.35">
      <c r="A61" s="28">
        <f t="shared" si="5"/>
        <v>43166</v>
      </c>
      <c r="B61" s="3" t="s">
        <v>312</v>
      </c>
      <c r="C61" s="3">
        <v>13</v>
      </c>
      <c r="D61" s="32">
        <v>2500</v>
      </c>
      <c r="E61" s="32">
        <f t="shared" si="0"/>
        <v>32500</v>
      </c>
      <c r="F61" s="30"/>
      <c r="G61" s="3"/>
      <c r="H61" s="37"/>
    </row>
    <row r="62" spans="1:8" x14ac:dyDescent="0.35">
      <c r="A62" s="28">
        <f t="shared" si="5"/>
        <v>43166</v>
      </c>
      <c r="B62" s="3" t="s">
        <v>300</v>
      </c>
      <c r="C62" s="3">
        <v>50</v>
      </c>
      <c r="D62" s="32">
        <v>50000</v>
      </c>
      <c r="E62" s="32">
        <f t="shared" si="0"/>
        <v>2500000</v>
      </c>
      <c r="F62" s="30"/>
      <c r="G62" s="3"/>
      <c r="H62" s="37"/>
    </row>
    <row r="63" spans="1:8" x14ac:dyDescent="0.35">
      <c r="A63" s="28">
        <f t="shared" si="5"/>
        <v>43166</v>
      </c>
      <c r="B63" s="3" t="s">
        <v>34</v>
      </c>
      <c r="C63" s="3">
        <v>27</v>
      </c>
      <c r="D63" s="32">
        <v>46000</v>
      </c>
      <c r="E63" s="32">
        <f t="shared" si="0"/>
        <v>1242000</v>
      </c>
      <c r="F63" s="30"/>
      <c r="G63" s="3"/>
      <c r="H63" s="37"/>
    </row>
    <row r="64" spans="1:8" x14ac:dyDescent="0.35">
      <c r="A64" s="28">
        <f t="shared" si="5"/>
        <v>43166</v>
      </c>
      <c r="B64" s="3" t="s">
        <v>73</v>
      </c>
      <c r="C64" s="3">
        <v>10</v>
      </c>
      <c r="D64" s="32">
        <v>43000</v>
      </c>
      <c r="E64" s="32">
        <f t="shared" si="0"/>
        <v>430000</v>
      </c>
      <c r="F64" s="30"/>
      <c r="G64" s="3"/>
      <c r="H64" s="37"/>
    </row>
    <row r="65" spans="1:8" x14ac:dyDescent="0.35">
      <c r="A65" s="28">
        <f t="shared" si="5"/>
        <v>43166</v>
      </c>
      <c r="B65" s="3" t="s">
        <v>36</v>
      </c>
      <c r="C65" s="3">
        <v>3</v>
      </c>
      <c r="D65" s="32">
        <v>46000</v>
      </c>
      <c r="E65" s="32">
        <f t="shared" si="0"/>
        <v>138000</v>
      </c>
      <c r="F65" s="30"/>
      <c r="G65" s="3"/>
      <c r="H65" s="37"/>
    </row>
    <row r="66" spans="1:8" x14ac:dyDescent="0.35">
      <c r="A66" s="28">
        <f t="shared" si="5"/>
        <v>43166</v>
      </c>
      <c r="B66" s="3" t="s">
        <v>4</v>
      </c>
      <c r="C66" s="3">
        <v>2</v>
      </c>
      <c r="D66" s="32">
        <v>38000</v>
      </c>
      <c r="E66" s="32">
        <f t="shared" si="0"/>
        <v>76000</v>
      </c>
      <c r="F66" s="30"/>
      <c r="G66" s="3"/>
      <c r="H66" s="37"/>
    </row>
    <row r="67" spans="1:8" x14ac:dyDescent="0.35">
      <c r="A67" s="28">
        <f t="shared" si="5"/>
        <v>43166</v>
      </c>
      <c r="B67" s="3" t="s">
        <v>159</v>
      </c>
      <c r="C67" s="3">
        <v>2</v>
      </c>
      <c r="D67" s="32">
        <v>53500</v>
      </c>
      <c r="E67" s="32">
        <f t="shared" si="0"/>
        <v>107000</v>
      </c>
      <c r="F67" s="30"/>
      <c r="G67" s="3"/>
      <c r="H67" s="37"/>
    </row>
    <row r="68" spans="1:8" x14ac:dyDescent="0.35">
      <c r="A68" s="28"/>
      <c r="B68" s="3"/>
      <c r="C68" s="3"/>
      <c r="D68" s="32"/>
      <c r="E68" s="32">
        <f t="shared" ref="E68:E131" si="6">D68*C68</f>
        <v>0</v>
      </c>
      <c r="F68" s="30"/>
      <c r="G68" s="3"/>
      <c r="H68" s="37"/>
    </row>
    <row r="69" spans="1:8" x14ac:dyDescent="0.35">
      <c r="A69" s="28">
        <v>43167</v>
      </c>
      <c r="B69" s="3" t="s">
        <v>184</v>
      </c>
      <c r="C69" s="3">
        <v>26</v>
      </c>
      <c r="D69" s="32">
        <v>4000</v>
      </c>
      <c r="E69" s="32">
        <f t="shared" si="6"/>
        <v>104000</v>
      </c>
      <c r="F69" s="30"/>
      <c r="G69" s="3"/>
      <c r="H69" s="37"/>
    </row>
    <row r="70" spans="1:8" x14ac:dyDescent="0.35">
      <c r="A70" s="28">
        <f>$A$69</f>
        <v>43167</v>
      </c>
      <c r="B70" s="3" t="s">
        <v>3</v>
      </c>
      <c r="C70" s="3">
        <v>2</v>
      </c>
      <c r="D70" s="32">
        <v>55000</v>
      </c>
      <c r="E70" s="32">
        <f t="shared" si="6"/>
        <v>110000</v>
      </c>
      <c r="F70" s="30"/>
      <c r="G70" s="3"/>
      <c r="H70" s="37"/>
    </row>
    <row r="71" spans="1:8" x14ac:dyDescent="0.35">
      <c r="A71" s="28">
        <f t="shared" ref="A71:A72" si="7">$A$69</f>
        <v>43167</v>
      </c>
      <c r="B71" s="3" t="s">
        <v>4</v>
      </c>
      <c r="C71" s="3">
        <v>20</v>
      </c>
      <c r="D71" s="32">
        <v>37500</v>
      </c>
      <c r="E71" s="32">
        <f t="shared" si="6"/>
        <v>750000</v>
      </c>
      <c r="F71" s="30"/>
      <c r="G71" s="3"/>
      <c r="H71" s="37"/>
    </row>
    <row r="72" spans="1:8" x14ac:dyDescent="0.35">
      <c r="A72" s="28">
        <f t="shared" si="7"/>
        <v>43167</v>
      </c>
      <c r="B72" s="3" t="s">
        <v>4</v>
      </c>
      <c r="C72" s="3">
        <v>1</v>
      </c>
      <c r="D72" s="32">
        <v>37000</v>
      </c>
      <c r="E72" s="32">
        <f t="shared" si="6"/>
        <v>37000</v>
      </c>
      <c r="F72" s="30"/>
      <c r="G72" s="3"/>
      <c r="H72" s="37"/>
    </row>
    <row r="73" spans="1:8" x14ac:dyDescent="0.35">
      <c r="A73" s="28"/>
      <c r="B73" s="3"/>
      <c r="C73" s="3"/>
      <c r="D73" s="32"/>
      <c r="E73" s="32">
        <f t="shared" si="6"/>
        <v>0</v>
      </c>
      <c r="F73" s="30"/>
      <c r="G73" s="3"/>
      <c r="H73" s="37"/>
    </row>
    <row r="74" spans="1:8" x14ac:dyDescent="0.35">
      <c r="A74" s="28">
        <v>43168</v>
      </c>
      <c r="B74" s="3" t="s">
        <v>4</v>
      </c>
      <c r="C74" s="3">
        <v>2</v>
      </c>
      <c r="D74" s="32">
        <v>37000</v>
      </c>
      <c r="E74" s="32">
        <f t="shared" si="6"/>
        <v>74000</v>
      </c>
      <c r="F74" s="30"/>
      <c r="G74" s="3"/>
      <c r="H74" s="37"/>
    </row>
    <row r="75" spans="1:8" x14ac:dyDescent="0.35">
      <c r="A75" s="28">
        <f>$A$74</f>
        <v>43168</v>
      </c>
      <c r="B75" s="3" t="s">
        <v>38</v>
      </c>
      <c r="C75" s="3">
        <v>1</v>
      </c>
      <c r="D75" s="32">
        <v>49000</v>
      </c>
      <c r="E75" s="32">
        <f t="shared" si="6"/>
        <v>49000</v>
      </c>
      <c r="F75" s="30"/>
      <c r="G75" s="3"/>
      <c r="H75" s="37"/>
    </row>
    <row r="76" spans="1:8" x14ac:dyDescent="0.35">
      <c r="A76" s="28">
        <f t="shared" ref="A76:A95" si="8">$A$74</f>
        <v>43168</v>
      </c>
      <c r="B76" s="3" t="s">
        <v>325</v>
      </c>
      <c r="C76" s="3">
        <v>10</v>
      </c>
      <c r="D76" s="32">
        <v>58000</v>
      </c>
      <c r="E76" s="32">
        <f t="shared" si="6"/>
        <v>580000</v>
      </c>
      <c r="F76" s="30"/>
      <c r="G76" s="3"/>
      <c r="H76" s="37"/>
    </row>
    <row r="77" spans="1:8" x14ac:dyDescent="0.35">
      <c r="A77" s="28">
        <f t="shared" si="8"/>
        <v>43168</v>
      </c>
      <c r="B77" s="3" t="s">
        <v>326</v>
      </c>
      <c r="C77" s="3">
        <v>1</v>
      </c>
      <c r="D77" s="32">
        <v>56000</v>
      </c>
      <c r="E77" s="32">
        <f t="shared" si="6"/>
        <v>56000</v>
      </c>
      <c r="F77" s="30"/>
      <c r="G77" s="3"/>
      <c r="H77" s="37"/>
    </row>
    <row r="78" spans="1:8" x14ac:dyDescent="0.35">
      <c r="A78" s="28">
        <f t="shared" si="8"/>
        <v>43168</v>
      </c>
      <c r="B78" s="3" t="s">
        <v>327</v>
      </c>
      <c r="C78" s="3">
        <v>75</v>
      </c>
      <c r="D78" s="32">
        <v>1400</v>
      </c>
      <c r="E78" s="32">
        <f t="shared" si="6"/>
        <v>105000</v>
      </c>
      <c r="F78" s="30"/>
      <c r="G78" s="3"/>
      <c r="H78" s="37"/>
    </row>
    <row r="79" spans="1:8" x14ac:dyDescent="0.35">
      <c r="A79" s="28">
        <f t="shared" si="8"/>
        <v>43168</v>
      </c>
      <c r="B79" s="3" t="s">
        <v>304</v>
      </c>
      <c r="C79" s="3">
        <v>1</v>
      </c>
      <c r="D79" s="32">
        <v>50000</v>
      </c>
      <c r="E79" s="32">
        <f t="shared" si="6"/>
        <v>50000</v>
      </c>
      <c r="F79" s="30"/>
      <c r="G79" s="3"/>
      <c r="H79" s="37"/>
    </row>
    <row r="80" spans="1:8" x14ac:dyDescent="0.35">
      <c r="A80" s="28">
        <f t="shared" si="8"/>
        <v>43168</v>
      </c>
      <c r="B80" s="3" t="s">
        <v>328</v>
      </c>
      <c r="C80" s="3">
        <v>1</v>
      </c>
      <c r="D80" s="32">
        <v>10000</v>
      </c>
      <c r="E80" s="32">
        <f t="shared" si="6"/>
        <v>10000</v>
      </c>
      <c r="F80" s="30"/>
      <c r="G80" s="3"/>
      <c r="H80" s="37"/>
    </row>
    <row r="81" spans="1:8" x14ac:dyDescent="0.35">
      <c r="A81" s="28">
        <f t="shared" si="8"/>
        <v>43168</v>
      </c>
      <c r="B81" s="3" t="s">
        <v>329</v>
      </c>
      <c r="C81" s="3">
        <v>1</v>
      </c>
      <c r="D81" s="32">
        <v>38000</v>
      </c>
      <c r="E81" s="32">
        <f t="shared" si="6"/>
        <v>38000</v>
      </c>
      <c r="F81" s="30"/>
      <c r="G81" s="3"/>
      <c r="H81" s="37"/>
    </row>
    <row r="82" spans="1:8" x14ac:dyDescent="0.35">
      <c r="A82" s="28">
        <f t="shared" si="8"/>
        <v>43168</v>
      </c>
      <c r="B82" s="3" t="s">
        <v>330</v>
      </c>
      <c r="C82" s="3">
        <v>1</v>
      </c>
      <c r="D82" s="32">
        <v>14000</v>
      </c>
      <c r="E82" s="32">
        <f t="shared" si="6"/>
        <v>14000</v>
      </c>
      <c r="F82" s="30"/>
      <c r="G82" s="3"/>
      <c r="H82" s="37"/>
    </row>
    <row r="83" spans="1:8" x14ac:dyDescent="0.35">
      <c r="A83" s="28">
        <f t="shared" si="8"/>
        <v>43168</v>
      </c>
      <c r="B83" s="3" t="s">
        <v>320</v>
      </c>
      <c r="C83" s="3">
        <v>1</v>
      </c>
      <c r="D83" s="32">
        <v>48000</v>
      </c>
      <c r="E83" s="32">
        <f t="shared" si="6"/>
        <v>48000</v>
      </c>
      <c r="F83" s="30"/>
      <c r="G83" s="3"/>
      <c r="H83" s="37"/>
    </row>
    <row r="84" spans="1:8" x14ac:dyDescent="0.35">
      <c r="A84" s="28">
        <f t="shared" si="8"/>
        <v>43168</v>
      </c>
      <c r="B84" s="3" t="s">
        <v>59</v>
      </c>
      <c r="C84" s="3">
        <v>2</v>
      </c>
      <c r="D84" s="32">
        <v>57000</v>
      </c>
      <c r="E84" s="32">
        <f t="shared" si="6"/>
        <v>114000</v>
      </c>
      <c r="F84" s="30"/>
      <c r="G84" s="3"/>
      <c r="H84" s="37"/>
    </row>
    <row r="85" spans="1:8" x14ac:dyDescent="0.35">
      <c r="A85" s="28">
        <f t="shared" si="8"/>
        <v>43168</v>
      </c>
      <c r="B85" s="3" t="s">
        <v>331</v>
      </c>
      <c r="C85" s="3">
        <v>3</v>
      </c>
      <c r="D85" s="32">
        <v>53000</v>
      </c>
      <c r="E85" s="32">
        <f t="shared" si="6"/>
        <v>159000</v>
      </c>
      <c r="F85" s="30"/>
      <c r="G85" s="3"/>
      <c r="H85" s="37"/>
    </row>
    <row r="86" spans="1:8" x14ac:dyDescent="0.35">
      <c r="A86" s="28">
        <f t="shared" si="8"/>
        <v>43168</v>
      </c>
      <c r="B86" s="3" t="s">
        <v>298</v>
      </c>
      <c r="C86" s="3">
        <v>7</v>
      </c>
      <c r="D86" s="32">
        <v>58000</v>
      </c>
      <c r="E86" s="32">
        <f t="shared" si="6"/>
        <v>406000</v>
      </c>
      <c r="F86" s="30"/>
      <c r="G86" s="3"/>
      <c r="H86" s="37"/>
    </row>
    <row r="87" spans="1:8" x14ac:dyDescent="0.35">
      <c r="A87" s="28">
        <f t="shared" si="8"/>
        <v>43168</v>
      </c>
      <c r="B87" s="3" t="s">
        <v>292</v>
      </c>
      <c r="C87" s="3">
        <v>3</v>
      </c>
      <c r="D87" s="32">
        <v>52000</v>
      </c>
      <c r="E87" s="32">
        <f t="shared" si="6"/>
        <v>156000</v>
      </c>
      <c r="F87" s="30"/>
      <c r="G87" s="3"/>
      <c r="H87" s="37"/>
    </row>
    <row r="88" spans="1:8" x14ac:dyDescent="0.35">
      <c r="A88" s="28">
        <f t="shared" si="8"/>
        <v>43168</v>
      </c>
      <c r="B88" s="3" t="s">
        <v>115</v>
      </c>
      <c r="C88" s="3">
        <v>6</v>
      </c>
      <c r="D88" s="32">
        <v>53500</v>
      </c>
      <c r="E88" s="32">
        <f t="shared" si="6"/>
        <v>321000</v>
      </c>
      <c r="F88" s="30"/>
      <c r="G88" s="3"/>
      <c r="H88" s="37"/>
    </row>
    <row r="89" spans="1:8" x14ac:dyDescent="0.35">
      <c r="A89" s="28">
        <f t="shared" si="8"/>
        <v>43168</v>
      </c>
      <c r="B89" s="3" t="s">
        <v>332</v>
      </c>
      <c r="C89" s="3">
        <v>7</v>
      </c>
      <c r="D89" s="32">
        <v>59000</v>
      </c>
      <c r="E89" s="32">
        <f t="shared" si="6"/>
        <v>413000</v>
      </c>
      <c r="F89" s="30"/>
      <c r="G89" s="3"/>
      <c r="H89" s="37"/>
    </row>
    <row r="90" spans="1:8" x14ac:dyDescent="0.35">
      <c r="A90" s="28">
        <f t="shared" si="8"/>
        <v>43168</v>
      </c>
      <c r="B90" s="3" t="s">
        <v>292</v>
      </c>
      <c r="C90" s="3">
        <v>2</v>
      </c>
      <c r="D90" s="32">
        <v>52000</v>
      </c>
      <c r="E90" s="32">
        <f t="shared" si="6"/>
        <v>104000</v>
      </c>
      <c r="F90" s="30"/>
      <c r="G90" s="3"/>
      <c r="H90" s="37"/>
    </row>
    <row r="91" spans="1:8" x14ac:dyDescent="0.35">
      <c r="A91" s="28">
        <f t="shared" si="8"/>
        <v>43168</v>
      </c>
      <c r="B91" s="3" t="s">
        <v>136</v>
      </c>
      <c r="C91" s="3">
        <v>10</v>
      </c>
      <c r="D91" s="32">
        <v>56000</v>
      </c>
      <c r="E91" s="32">
        <f t="shared" si="6"/>
        <v>560000</v>
      </c>
      <c r="F91" s="30"/>
      <c r="G91" s="3"/>
      <c r="H91" s="37"/>
    </row>
    <row r="92" spans="1:8" x14ac:dyDescent="0.35">
      <c r="A92" s="28">
        <f t="shared" si="8"/>
        <v>43168</v>
      </c>
      <c r="B92" s="3" t="s">
        <v>304</v>
      </c>
      <c r="C92" s="3">
        <v>5</v>
      </c>
      <c r="D92" s="32">
        <v>50000</v>
      </c>
      <c r="E92" s="32">
        <f t="shared" si="6"/>
        <v>250000</v>
      </c>
      <c r="F92" s="30"/>
      <c r="G92" s="3"/>
      <c r="H92" s="37"/>
    </row>
    <row r="93" spans="1:8" x14ac:dyDescent="0.35">
      <c r="A93" s="28">
        <f t="shared" si="8"/>
        <v>43168</v>
      </c>
      <c r="B93" s="3" t="s">
        <v>333</v>
      </c>
      <c r="C93" s="3">
        <v>1</v>
      </c>
      <c r="D93" s="32">
        <v>120000</v>
      </c>
      <c r="E93" s="32">
        <f t="shared" si="6"/>
        <v>120000</v>
      </c>
      <c r="F93" s="30"/>
      <c r="G93" s="3"/>
      <c r="H93" s="37"/>
    </row>
    <row r="94" spans="1:8" x14ac:dyDescent="0.35">
      <c r="A94" s="28">
        <f t="shared" si="8"/>
        <v>43168</v>
      </c>
      <c r="B94" s="3" t="s">
        <v>334</v>
      </c>
      <c r="C94" s="3">
        <v>1</v>
      </c>
      <c r="D94" s="32">
        <v>38000</v>
      </c>
      <c r="E94" s="32">
        <f t="shared" si="6"/>
        <v>38000</v>
      </c>
      <c r="F94" s="30"/>
      <c r="G94" s="3"/>
      <c r="H94" s="37"/>
    </row>
    <row r="95" spans="1:8" x14ac:dyDescent="0.35">
      <c r="A95" s="28">
        <f t="shared" si="8"/>
        <v>43168</v>
      </c>
      <c r="B95" s="3" t="s">
        <v>335</v>
      </c>
      <c r="C95" s="3">
        <v>1</v>
      </c>
      <c r="D95" s="32">
        <v>26000</v>
      </c>
      <c r="E95" s="32">
        <f t="shared" si="6"/>
        <v>26000</v>
      </c>
      <c r="F95" s="30"/>
      <c r="G95" s="3"/>
      <c r="H95" s="37"/>
    </row>
    <row r="96" spans="1:8" x14ac:dyDescent="0.35">
      <c r="A96" s="28"/>
      <c r="B96" s="3"/>
      <c r="C96" s="3"/>
      <c r="D96" s="32"/>
      <c r="E96" s="32">
        <f t="shared" si="6"/>
        <v>0</v>
      </c>
      <c r="F96" s="30"/>
      <c r="G96" s="3"/>
      <c r="H96" s="37"/>
    </row>
    <row r="97" spans="1:8" x14ac:dyDescent="0.35">
      <c r="A97" s="28">
        <v>43169</v>
      </c>
      <c r="B97" s="3" t="s">
        <v>336</v>
      </c>
      <c r="C97" s="3">
        <v>4</v>
      </c>
      <c r="D97" s="32">
        <v>1500</v>
      </c>
      <c r="E97" s="32">
        <f t="shared" si="6"/>
        <v>6000</v>
      </c>
      <c r="F97" s="30"/>
      <c r="G97" s="3"/>
      <c r="H97" s="37"/>
    </row>
    <row r="98" spans="1:8" x14ac:dyDescent="0.35">
      <c r="A98" s="28">
        <f>$A$97</f>
        <v>43169</v>
      </c>
      <c r="B98" s="3" t="s">
        <v>187</v>
      </c>
      <c r="C98" s="3">
        <v>3</v>
      </c>
      <c r="D98" s="32">
        <v>47000</v>
      </c>
      <c r="E98" s="32">
        <f t="shared" si="6"/>
        <v>141000</v>
      </c>
      <c r="F98" s="30"/>
      <c r="G98" s="3"/>
      <c r="H98" s="37"/>
    </row>
    <row r="99" spans="1:8" x14ac:dyDescent="0.35">
      <c r="A99" s="28">
        <f t="shared" ref="A99:A105" si="9">$A$97</f>
        <v>43169</v>
      </c>
      <c r="B99" s="3" t="s">
        <v>30</v>
      </c>
      <c r="C99" s="3">
        <v>3</v>
      </c>
      <c r="D99" s="32">
        <v>47000</v>
      </c>
      <c r="E99" s="32">
        <f t="shared" si="6"/>
        <v>141000</v>
      </c>
      <c r="F99" s="30"/>
      <c r="G99" s="3"/>
      <c r="H99" s="37"/>
    </row>
    <row r="100" spans="1:8" x14ac:dyDescent="0.35">
      <c r="A100" s="28">
        <f t="shared" si="9"/>
        <v>43169</v>
      </c>
      <c r="B100" s="3" t="s">
        <v>24</v>
      </c>
      <c r="C100" s="3">
        <v>1</v>
      </c>
      <c r="D100" s="32">
        <v>58000</v>
      </c>
      <c r="E100" s="32">
        <f t="shared" si="6"/>
        <v>58000</v>
      </c>
      <c r="F100" s="30"/>
      <c r="G100" s="3"/>
      <c r="H100" s="37"/>
    </row>
    <row r="101" spans="1:8" x14ac:dyDescent="0.35">
      <c r="A101" s="28">
        <f t="shared" si="9"/>
        <v>43169</v>
      </c>
      <c r="B101" s="3" t="s">
        <v>4</v>
      </c>
      <c r="C101" s="3">
        <v>2</v>
      </c>
      <c r="D101" s="32">
        <v>37000</v>
      </c>
      <c r="E101" s="32">
        <f t="shared" si="6"/>
        <v>74000</v>
      </c>
      <c r="F101" s="30"/>
      <c r="G101" s="3"/>
      <c r="H101" s="37"/>
    </row>
    <row r="102" spans="1:8" x14ac:dyDescent="0.35">
      <c r="A102" s="28">
        <f t="shared" si="9"/>
        <v>43169</v>
      </c>
      <c r="B102" s="3" t="s">
        <v>300</v>
      </c>
      <c r="C102" s="3">
        <v>1</v>
      </c>
      <c r="D102" s="32">
        <v>55000</v>
      </c>
      <c r="E102" s="32">
        <f t="shared" si="6"/>
        <v>55000</v>
      </c>
      <c r="F102" s="30"/>
      <c r="G102" s="3"/>
      <c r="H102" s="37"/>
    </row>
    <row r="103" spans="1:8" x14ac:dyDescent="0.35">
      <c r="A103" s="28">
        <f t="shared" si="9"/>
        <v>43169</v>
      </c>
      <c r="B103" s="3" t="s">
        <v>337</v>
      </c>
      <c r="C103" s="3">
        <v>1</v>
      </c>
      <c r="D103" s="32">
        <v>10000</v>
      </c>
      <c r="E103" s="32">
        <f t="shared" si="6"/>
        <v>10000</v>
      </c>
      <c r="F103" s="30"/>
      <c r="G103" s="3"/>
      <c r="H103" s="37"/>
    </row>
    <row r="104" spans="1:8" x14ac:dyDescent="0.35">
      <c r="A104" s="28">
        <f t="shared" si="9"/>
        <v>43169</v>
      </c>
      <c r="B104" s="3" t="s">
        <v>338</v>
      </c>
      <c r="C104" s="3">
        <v>9</v>
      </c>
      <c r="D104" s="32">
        <v>57000</v>
      </c>
      <c r="E104" s="32">
        <f t="shared" si="6"/>
        <v>513000</v>
      </c>
      <c r="F104" s="30"/>
      <c r="G104" s="3"/>
      <c r="H104" s="37"/>
    </row>
    <row r="105" spans="1:8" x14ac:dyDescent="0.35">
      <c r="A105" s="28">
        <f t="shared" si="9"/>
        <v>43169</v>
      </c>
      <c r="B105" s="3" t="s">
        <v>339</v>
      </c>
      <c r="C105" s="3">
        <v>4</v>
      </c>
      <c r="D105" s="32">
        <v>50000</v>
      </c>
      <c r="E105" s="32">
        <f t="shared" si="6"/>
        <v>200000</v>
      </c>
      <c r="F105" s="30"/>
      <c r="G105" s="3"/>
      <c r="H105" s="37"/>
    </row>
    <row r="106" spans="1:8" x14ac:dyDescent="0.35">
      <c r="A106" s="28"/>
      <c r="B106" s="3"/>
      <c r="C106" s="3"/>
      <c r="D106" s="32"/>
      <c r="E106" s="32">
        <f t="shared" si="6"/>
        <v>0</v>
      </c>
      <c r="F106" s="30"/>
      <c r="G106" s="3"/>
      <c r="H106" s="37"/>
    </row>
    <row r="107" spans="1:8" x14ac:dyDescent="0.35">
      <c r="A107" s="28">
        <v>43171</v>
      </c>
      <c r="B107" s="3" t="s">
        <v>3</v>
      </c>
      <c r="C107" s="3">
        <v>1</v>
      </c>
      <c r="D107" s="32">
        <v>55000</v>
      </c>
      <c r="E107" s="32">
        <f t="shared" si="6"/>
        <v>55000</v>
      </c>
      <c r="F107" s="30"/>
      <c r="G107" s="3"/>
      <c r="H107" s="37"/>
    </row>
    <row r="108" spans="1:8" x14ac:dyDescent="0.35">
      <c r="A108" s="28">
        <f>$A$107</f>
        <v>43171</v>
      </c>
      <c r="B108" s="3" t="s">
        <v>260</v>
      </c>
      <c r="C108" s="3">
        <v>2</v>
      </c>
      <c r="D108" s="32">
        <v>46000</v>
      </c>
      <c r="E108" s="32">
        <f t="shared" si="6"/>
        <v>92000</v>
      </c>
      <c r="F108" s="30"/>
      <c r="G108" s="3"/>
      <c r="H108" s="37"/>
    </row>
    <row r="109" spans="1:8" x14ac:dyDescent="0.35">
      <c r="A109" s="28">
        <f t="shared" ref="A109:A130" si="10">$A$107</f>
        <v>43171</v>
      </c>
      <c r="B109" s="3" t="s">
        <v>115</v>
      </c>
      <c r="C109" s="3">
        <v>1</v>
      </c>
      <c r="D109" s="32">
        <v>53000</v>
      </c>
      <c r="E109" s="32">
        <f t="shared" si="6"/>
        <v>53000</v>
      </c>
      <c r="F109" s="30"/>
      <c r="G109" s="3"/>
      <c r="H109" s="37"/>
    </row>
    <row r="110" spans="1:8" x14ac:dyDescent="0.35">
      <c r="A110" s="28">
        <f t="shared" si="10"/>
        <v>43171</v>
      </c>
      <c r="B110" s="3" t="s">
        <v>341</v>
      </c>
      <c r="C110" s="3">
        <v>8</v>
      </c>
      <c r="D110" s="32">
        <v>8500</v>
      </c>
      <c r="E110" s="32">
        <f t="shared" si="6"/>
        <v>68000</v>
      </c>
      <c r="F110" s="30"/>
      <c r="G110" s="3"/>
      <c r="H110" s="37"/>
    </row>
    <row r="111" spans="1:8" x14ac:dyDescent="0.35">
      <c r="A111" s="28">
        <f t="shared" si="10"/>
        <v>43171</v>
      </c>
      <c r="B111" s="3" t="s">
        <v>302</v>
      </c>
      <c r="C111" s="3">
        <v>4</v>
      </c>
      <c r="D111" s="32">
        <v>8500</v>
      </c>
      <c r="E111" s="32">
        <f t="shared" si="6"/>
        <v>34000</v>
      </c>
      <c r="F111" s="30"/>
      <c r="G111" s="3"/>
      <c r="H111" s="37"/>
    </row>
    <row r="112" spans="1:8" x14ac:dyDescent="0.35">
      <c r="A112" s="28">
        <f t="shared" si="10"/>
        <v>43171</v>
      </c>
      <c r="B112" s="3" t="s">
        <v>276</v>
      </c>
      <c r="C112" s="3">
        <v>14</v>
      </c>
      <c r="D112" s="32">
        <v>57500</v>
      </c>
      <c r="E112" s="32">
        <f t="shared" si="6"/>
        <v>805000</v>
      </c>
      <c r="F112" s="30"/>
      <c r="G112" s="3"/>
      <c r="H112" s="37"/>
    </row>
    <row r="113" spans="1:8" x14ac:dyDescent="0.35">
      <c r="A113" s="28">
        <f t="shared" si="10"/>
        <v>43171</v>
      </c>
      <c r="B113" s="3" t="s">
        <v>7</v>
      </c>
      <c r="C113" s="3">
        <v>5</v>
      </c>
      <c r="D113" s="32">
        <v>42000</v>
      </c>
      <c r="E113" s="32">
        <f t="shared" si="6"/>
        <v>210000</v>
      </c>
      <c r="F113" s="30"/>
      <c r="G113" s="3"/>
      <c r="H113" s="37"/>
    </row>
    <row r="114" spans="1:8" x14ac:dyDescent="0.35">
      <c r="A114" s="28">
        <f t="shared" si="10"/>
        <v>43171</v>
      </c>
      <c r="B114" s="3" t="s">
        <v>200</v>
      </c>
      <c r="C114" s="3">
        <v>2</v>
      </c>
      <c r="D114" s="32">
        <v>45000</v>
      </c>
      <c r="E114" s="32">
        <f t="shared" si="6"/>
        <v>90000</v>
      </c>
      <c r="F114" s="30"/>
      <c r="G114" s="3"/>
      <c r="H114" s="37"/>
    </row>
    <row r="115" spans="1:8" x14ac:dyDescent="0.35">
      <c r="A115" s="28">
        <f t="shared" si="10"/>
        <v>43171</v>
      </c>
      <c r="B115" s="3" t="s">
        <v>110</v>
      </c>
      <c r="C115" s="3">
        <v>6</v>
      </c>
      <c r="D115" s="32">
        <v>49000</v>
      </c>
      <c r="E115" s="32">
        <f t="shared" si="6"/>
        <v>294000</v>
      </c>
      <c r="F115" s="30"/>
      <c r="G115" s="3"/>
      <c r="H115" s="37"/>
    </row>
    <row r="116" spans="1:8" x14ac:dyDescent="0.35">
      <c r="A116" s="28">
        <f t="shared" si="10"/>
        <v>43171</v>
      </c>
      <c r="B116" s="3" t="s">
        <v>342</v>
      </c>
      <c r="C116" s="3">
        <v>1</v>
      </c>
      <c r="D116" s="32">
        <v>40000</v>
      </c>
      <c r="E116" s="32">
        <f t="shared" si="6"/>
        <v>40000</v>
      </c>
      <c r="F116" s="30"/>
      <c r="G116" s="3"/>
      <c r="H116" s="37"/>
    </row>
    <row r="117" spans="1:8" x14ac:dyDescent="0.35">
      <c r="A117" s="28">
        <f t="shared" si="10"/>
        <v>43171</v>
      </c>
      <c r="B117" s="3" t="s">
        <v>24</v>
      </c>
      <c r="C117" s="3">
        <v>2</v>
      </c>
      <c r="D117" s="32">
        <v>58000</v>
      </c>
      <c r="E117" s="32">
        <f t="shared" si="6"/>
        <v>116000</v>
      </c>
      <c r="F117" s="30"/>
      <c r="G117" s="3"/>
      <c r="H117" s="37"/>
    </row>
    <row r="118" spans="1:8" x14ac:dyDescent="0.35">
      <c r="A118" s="28">
        <f t="shared" si="10"/>
        <v>43171</v>
      </c>
      <c r="B118" s="3" t="s">
        <v>87</v>
      </c>
      <c r="C118" s="3">
        <v>30</v>
      </c>
      <c r="D118" s="32">
        <v>1600</v>
      </c>
      <c r="E118" s="32">
        <f t="shared" si="6"/>
        <v>48000</v>
      </c>
      <c r="F118" s="30"/>
      <c r="G118" s="3"/>
      <c r="H118" s="37"/>
    </row>
    <row r="119" spans="1:8" x14ac:dyDescent="0.35">
      <c r="A119" s="28">
        <f t="shared" si="10"/>
        <v>43171</v>
      </c>
      <c r="B119" s="3" t="s">
        <v>303</v>
      </c>
      <c r="C119" s="3">
        <v>3</v>
      </c>
      <c r="D119" s="32">
        <v>55000</v>
      </c>
      <c r="E119" s="32">
        <f t="shared" si="6"/>
        <v>165000</v>
      </c>
      <c r="F119" s="30"/>
      <c r="G119" s="3"/>
      <c r="H119" s="37"/>
    </row>
    <row r="120" spans="1:8" x14ac:dyDescent="0.35">
      <c r="A120" s="28">
        <f t="shared" si="10"/>
        <v>43171</v>
      </c>
      <c r="B120" s="3" t="s">
        <v>300</v>
      </c>
      <c r="C120" s="3">
        <v>1</v>
      </c>
      <c r="D120" s="32">
        <v>55000</v>
      </c>
      <c r="E120" s="32">
        <f t="shared" si="6"/>
        <v>55000</v>
      </c>
      <c r="F120" s="30"/>
      <c r="G120" s="3"/>
      <c r="H120" s="37"/>
    </row>
    <row r="121" spans="1:8" x14ac:dyDescent="0.35">
      <c r="A121" s="28">
        <f t="shared" si="10"/>
        <v>43171</v>
      </c>
      <c r="B121" s="3" t="s">
        <v>341</v>
      </c>
      <c r="C121" s="3">
        <v>15</v>
      </c>
      <c r="D121" s="32">
        <v>8500</v>
      </c>
      <c r="E121" s="32">
        <f t="shared" si="6"/>
        <v>127500</v>
      </c>
      <c r="F121" s="30"/>
      <c r="G121" s="3"/>
      <c r="H121" s="37"/>
    </row>
    <row r="122" spans="1:8" x14ac:dyDescent="0.35">
      <c r="A122" s="28">
        <f t="shared" si="10"/>
        <v>43171</v>
      </c>
      <c r="B122" s="3" t="s">
        <v>343</v>
      </c>
      <c r="C122" s="3">
        <v>18</v>
      </c>
      <c r="D122" s="32">
        <v>55000</v>
      </c>
      <c r="E122" s="32">
        <f t="shared" si="6"/>
        <v>990000</v>
      </c>
      <c r="F122" s="30"/>
      <c r="G122" s="3"/>
      <c r="H122" s="37"/>
    </row>
    <row r="123" spans="1:8" x14ac:dyDescent="0.35">
      <c r="A123" s="28">
        <f t="shared" si="10"/>
        <v>43171</v>
      </c>
      <c r="B123" s="3" t="s">
        <v>252</v>
      </c>
      <c r="C123" s="3">
        <v>10</v>
      </c>
      <c r="D123" s="32">
        <v>50000</v>
      </c>
      <c r="E123" s="32">
        <f t="shared" si="6"/>
        <v>500000</v>
      </c>
      <c r="F123" s="30"/>
      <c r="G123" s="3"/>
      <c r="H123" s="37"/>
    </row>
    <row r="124" spans="1:8" x14ac:dyDescent="0.35">
      <c r="A124" s="28">
        <f t="shared" si="10"/>
        <v>43171</v>
      </c>
      <c r="B124" s="3" t="s">
        <v>160</v>
      </c>
      <c r="C124" s="3">
        <v>10</v>
      </c>
      <c r="D124" s="32">
        <v>55000</v>
      </c>
      <c r="E124" s="32">
        <f t="shared" si="6"/>
        <v>550000</v>
      </c>
      <c r="F124" s="30"/>
      <c r="G124" s="3"/>
      <c r="H124" s="37"/>
    </row>
    <row r="125" spans="1:8" x14ac:dyDescent="0.35">
      <c r="A125" s="28">
        <f t="shared" si="10"/>
        <v>43171</v>
      </c>
      <c r="B125" s="3" t="s">
        <v>344</v>
      </c>
      <c r="C125" s="3">
        <v>2</v>
      </c>
      <c r="D125" s="32">
        <v>25000</v>
      </c>
      <c r="E125" s="32">
        <f t="shared" si="6"/>
        <v>50000</v>
      </c>
      <c r="F125" s="30"/>
      <c r="G125" s="3"/>
      <c r="H125" s="37"/>
    </row>
    <row r="126" spans="1:8" x14ac:dyDescent="0.35">
      <c r="A126" s="28">
        <f t="shared" si="10"/>
        <v>43171</v>
      </c>
      <c r="B126" s="3" t="s">
        <v>345</v>
      </c>
      <c r="C126" s="3">
        <v>40</v>
      </c>
      <c r="D126" s="32">
        <v>7500</v>
      </c>
      <c r="E126" s="32">
        <f t="shared" si="6"/>
        <v>300000</v>
      </c>
      <c r="F126" s="30"/>
      <c r="G126" s="3"/>
      <c r="H126" s="37"/>
    </row>
    <row r="127" spans="1:8" x14ac:dyDescent="0.35">
      <c r="A127" s="28">
        <f t="shared" si="10"/>
        <v>43171</v>
      </c>
      <c r="B127" s="3" t="s">
        <v>346</v>
      </c>
      <c r="C127" s="3">
        <v>12</v>
      </c>
      <c r="D127" s="32">
        <v>7500</v>
      </c>
      <c r="E127" s="32">
        <f t="shared" si="6"/>
        <v>90000</v>
      </c>
      <c r="F127" s="30"/>
      <c r="G127" s="3"/>
      <c r="H127" s="37"/>
    </row>
    <row r="128" spans="1:8" x14ac:dyDescent="0.35">
      <c r="A128" s="28">
        <f t="shared" si="10"/>
        <v>43171</v>
      </c>
      <c r="B128" s="3" t="s">
        <v>347</v>
      </c>
      <c r="C128" s="3">
        <v>29</v>
      </c>
      <c r="D128" s="32">
        <v>8500</v>
      </c>
      <c r="E128" s="32">
        <f t="shared" si="6"/>
        <v>246500</v>
      </c>
      <c r="F128" s="30"/>
      <c r="G128" s="3"/>
      <c r="H128" s="37"/>
    </row>
    <row r="129" spans="1:8" x14ac:dyDescent="0.35">
      <c r="A129" s="28">
        <f t="shared" si="10"/>
        <v>43171</v>
      </c>
      <c r="B129" s="3" t="s">
        <v>338</v>
      </c>
      <c r="C129" s="3">
        <v>1</v>
      </c>
      <c r="D129" s="32">
        <v>57000</v>
      </c>
      <c r="E129" s="32">
        <f t="shared" si="6"/>
        <v>57000</v>
      </c>
      <c r="F129" s="30"/>
      <c r="G129" s="3"/>
      <c r="H129" s="37"/>
    </row>
    <row r="130" spans="1:8" x14ac:dyDescent="0.35">
      <c r="A130" s="28">
        <f t="shared" si="10"/>
        <v>43171</v>
      </c>
      <c r="B130" s="3" t="s">
        <v>4</v>
      </c>
      <c r="C130" s="3">
        <v>40</v>
      </c>
      <c r="D130" s="32">
        <v>34000</v>
      </c>
      <c r="E130" s="32">
        <f t="shared" si="6"/>
        <v>1360000</v>
      </c>
      <c r="F130" s="30"/>
      <c r="G130" s="3"/>
      <c r="H130" s="37"/>
    </row>
    <row r="131" spans="1:8" x14ac:dyDescent="0.35">
      <c r="A131" s="28"/>
      <c r="B131" s="3"/>
      <c r="C131" s="3"/>
      <c r="D131" s="32"/>
      <c r="E131" s="32">
        <f t="shared" si="6"/>
        <v>0</v>
      </c>
      <c r="F131" s="30"/>
      <c r="G131" s="3"/>
      <c r="H131" s="37"/>
    </row>
    <row r="132" spans="1:8" x14ac:dyDescent="0.35">
      <c r="A132" s="28">
        <v>43172</v>
      </c>
      <c r="B132" s="3" t="s">
        <v>125</v>
      </c>
      <c r="C132" s="3">
        <v>12</v>
      </c>
      <c r="D132" s="32">
        <v>38000</v>
      </c>
      <c r="E132" s="32">
        <f t="shared" ref="E132:E195" si="11">D132*C132</f>
        <v>456000</v>
      </c>
      <c r="F132" s="30"/>
      <c r="G132" s="3"/>
      <c r="H132" s="37"/>
    </row>
    <row r="133" spans="1:8" x14ac:dyDescent="0.35">
      <c r="A133" s="28">
        <f>$A$132</f>
        <v>43172</v>
      </c>
      <c r="B133" s="3" t="s">
        <v>34</v>
      </c>
      <c r="C133" s="3">
        <v>6</v>
      </c>
      <c r="D133" s="32">
        <v>47000</v>
      </c>
      <c r="E133" s="32">
        <f t="shared" si="11"/>
        <v>282000</v>
      </c>
      <c r="F133" s="30"/>
      <c r="G133" s="3"/>
      <c r="H133" s="37"/>
    </row>
    <row r="134" spans="1:8" x14ac:dyDescent="0.35">
      <c r="A134" s="28">
        <f t="shared" ref="A134:A140" si="12">$A$132</f>
        <v>43172</v>
      </c>
      <c r="B134" s="3" t="s">
        <v>253</v>
      </c>
      <c r="C134" s="3">
        <v>22</v>
      </c>
      <c r="D134" s="32">
        <v>9500</v>
      </c>
      <c r="E134" s="32">
        <f t="shared" si="11"/>
        <v>209000</v>
      </c>
      <c r="F134" s="30"/>
      <c r="G134" s="3"/>
      <c r="H134" s="37"/>
    </row>
    <row r="135" spans="1:8" x14ac:dyDescent="0.35">
      <c r="A135" s="28">
        <f t="shared" si="12"/>
        <v>43172</v>
      </c>
      <c r="B135" s="3" t="s">
        <v>252</v>
      </c>
      <c r="C135" s="3">
        <v>4</v>
      </c>
      <c r="D135" s="32">
        <v>50000</v>
      </c>
      <c r="E135" s="32">
        <f t="shared" si="11"/>
        <v>200000</v>
      </c>
      <c r="F135" s="30"/>
      <c r="G135" s="3"/>
      <c r="H135" s="37"/>
    </row>
    <row r="136" spans="1:8" x14ac:dyDescent="0.35">
      <c r="A136" s="28">
        <f t="shared" si="12"/>
        <v>43172</v>
      </c>
      <c r="B136" s="3" t="s">
        <v>326</v>
      </c>
      <c r="C136" s="3">
        <v>9</v>
      </c>
      <c r="D136" s="32">
        <v>55000</v>
      </c>
      <c r="E136" s="32">
        <f t="shared" si="11"/>
        <v>495000</v>
      </c>
      <c r="F136" s="30"/>
      <c r="G136" s="3"/>
      <c r="H136" s="37"/>
    </row>
    <row r="137" spans="1:8" x14ac:dyDescent="0.35">
      <c r="A137" s="28">
        <f t="shared" si="12"/>
        <v>43172</v>
      </c>
      <c r="B137" s="3" t="s">
        <v>348</v>
      </c>
      <c r="C137" s="3">
        <v>15</v>
      </c>
      <c r="D137" s="32">
        <v>53000</v>
      </c>
      <c r="E137" s="32">
        <f t="shared" si="11"/>
        <v>795000</v>
      </c>
      <c r="F137" s="30"/>
      <c r="G137" s="3"/>
      <c r="H137" s="37"/>
    </row>
    <row r="138" spans="1:8" x14ac:dyDescent="0.35">
      <c r="A138" s="28">
        <f t="shared" si="12"/>
        <v>43172</v>
      </c>
      <c r="B138" s="3" t="s">
        <v>349</v>
      </c>
      <c r="C138" s="3">
        <v>2</v>
      </c>
      <c r="D138" s="32">
        <v>50000</v>
      </c>
      <c r="E138" s="32">
        <f t="shared" si="11"/>
        <v>100000</v>
      </c>
      <c r="F138" s="30"/>
      <c r="G138" s="3"/>
      <c r="H138" s="37"/>
    </row>
    <row r="139" spans="1:8" x14ac:dyDescent="0.35">
      <c r="A139" s="28">
        <f t="shared" si="12"/>
        <v>43172</v>
      </c>
      <c r="B139" s="3" t="s">
        <v>350</v>
      </c>
      <c r="C139" s="3">
        <v>3</v>
      </c>
      <c r="D139" s="32">
        <v>56000</v>
      </c>
      <c r="E139" s="32">
        <f t="shared" si="11"/>
        <v>168000</v>
      </c>
      <c r="F139" s="30"/>
      <c r="G139" s="3"/>
      <c r="H139" s="37"/>
    </row>
    <row r="140" spans="1:8" x14ac:dyDescent="0.35">
      <c r="A140" s="28">
        <f t="shared" si="12"/>
        <v>43172</v>
      </c>
      <c r="B140" s="3" t="s">
        <v>200</v>
      </c>
      <c r="C140" s="3">
        <v>2</v>
      </c>
      <c r="D140" s="32">
        <v>46000</v>
      </c>
      <c r="E140" s="32">
        <f t="shared" si="11"/>
        <v>92000</v>
      </c>
      <c r="F140" s="30"/>
      <c r="G140" s="3"/>
      <c r="H140" s="37"/>
    </row>
    <row r="141" spans="1:8" x14ac:dyDescent="0.35">
      <c r="A141" s="28"/>
      <c r="B141" s="3"/>
      <c r="C141" s="3"/>
      <c r="D141" s="32"/>
      <c r="E141" s="32">
        <f t="shared" si="11"/>
        <v>0</v>
      </c>
      <c r="F141" s="30"/>
      <c r="G141" s="3"/>
      <c r="H141" s="37"/>
    </row>
    <row r="142" spans="1:8" x14ac:dyDescent="0.35">
      <c r="A142" s="28">
        <v>43173</v>
      </c>
      <c r="B142" s="3" t="s">
        <v>107</v>
      </c>
      <c r="C142" s="3">
        <v>2</v>
      </c>
      <c r="D142" s="32">
        <v>1600</v>
      </c>
      <c r="E142" s="32">
        <f t="shared" si="11"/>
        <v>3200</v>
      </c>
      <c r="F142" s="30"/>
      <c r="G142" s="3"/>
      <c r="H142" s="37"/>
    </row>
    <row r="143" spans="1:8" x14ac:dyDescent="0.35">
      <c r="A143" s="28">
        <f>$A$142</f>
        <v>43173</v>
      </c>
      <c r="B143" s="3" t="s">
        <v>73</v>
      </c>
      <c r="C143" s="3">
        <v>1</v>
      </c>
      <c r="D143" s="32">
        <v>43000</v>
      </c>
      <c r="E143" s="32">
        <f t="shared" si="11"/>
        <v>43000</v>
      </c>
      <c r="F143" s="30"/>
      <c r="G143" s="3"/>
      <c r="H143" s="37"/>
    </row>
    <row r="144" spans="1:8" x14ac:dyDescent="0.35">
      <c r="A144" s="28">
        <f t="shared" ref="A144:A152" si="13">$A$142</f>
        <v>43173</v>
      </c>
      <c r="B144" s="3" t="s">
        <v>351</v>
      </c>
      <c r="C144" s="3">
        <v>1</v>
      </c>
      <c r="D144" s="32">
        <v>15000</v>
      </c>
      <c r="E144" s="32">
        <f t="shared" si="11"/>
        <v>15000</v>
      </c>
      <c r="F144" s="30"/>
      <c r="G144" s="3"/>
      <c r="H144" s="37"/>
    </row>
    <row r="145" spans="1:8" x14ac:dyDescent="0.35">
      <c r="A145" s="28">
        <f t="shared" si="13"/>
        <v>43173</v>
      </c>
      <c r="B145" s="3" t="s">
        <v>92</v>
      </c>
      <c r="C145" s="3">
        <v>13</v>
      </c>
      <c r="D145" s="32">
        <v>1600</v>
      </c>
      <c r="E145" s="32">
        <f t="shared" si="11"/>
        <v>20800</v>
      </c>
      <c r="F145" s="30"/>
      <c r="G145" s="3"/>
      <c r="H145" s="37"/>
    </row>
    <row r="146" spans="1:8" x14ac:dyDescent="0.35">
      <c r="A146" s="28">
        <f t="shared" si="13"/>
        <v>43173</v>
      </c>
      <c r="B146" s="3" t="s">
        <v>26</v>
      </c>
      <c r="C146" s="3">
        <v>40</v>
      </c>
      <c r="D146" s="32">
        <v>51000</v>
      </c>
      <c r="E146" s="32">
        <f t="shared" si="11"/>
        <v>2040000</v>
      </c>
      <c r="F146" s="30"/>
      <c r="G146" s="3"/>
      <c r="H146" s="37"/>
    </row>
    <row r="147" spans="1:8" x14ac:dyDescent="0.35">
      <c r="A147" s="28">
        <f t="shared" si="13"/>
        <v>43173</v>
      </c>
      <c r="B147" s="3" t="s">
        <v>140</v>
      </c>
      <c r="C147" s="3">
        <v>3</v>
      </c>
      <c r="D147" s="32">
        <v>56000</v>
      </c>
      <c r="E147" s="32">
        <f t="shared" si="11"/>
        <v>168000</v>
      </c>
      <c r="F147" s="30"/>
      <c r="G147" s="3"/>
      <c r="H147" s="37"/>
    </row>
    <row r="148" spans="1:8" x14ac:dyDescent="0.35">
      <c r="A148" s="28">
        <f t="shared" si="13"/>
        <v>43173</v>
      </c>
      <c r="B148" s="3" t="s">
        <v>178</v>
      </c>
      <c r="C148" s="3">
        <v>12</v>
      </c>
      <c r="D148" s="32">
        <v>46500</v>
      </c>
      <c r="E148" s="32">
        <f t="shared" si="11"/>
        <v>558000</v>
      </c>
      <c r="F148" s="30"/>
      <c r="G148" s="3"/>
      <c r="H148" s="37"/>
    </row>
    <row r="149" spans="1:8" x14ac:dyDescent="0.35">
      <c r="A149" s="28">
        <f t="shared" si="13"/>
        <v>43173</v>
      </c>
      <c r="B149" s="3" t="s">
        <v>37</v>
      </c>
      <c r="C149" s="3">
        <v>2</v>
      </c>
      <c r="D149" s="32">
        <v>50000</v>
      </c>
      <c r="E149" s="32">
        <f t="shared" si="11"/>
        <v>100000</v>
      </c>
      <c r="F149" s="30"/>
      <c r="G149" s="3"/>
      <c r="H149" s="37"/>
    </row>
    <row r="150" spans="1:8" x14ac:dyDescent="0.35">
      <c r="A150" s="28">
        <f t="shared" si="13"/>
        <v>43173</v>
      </c>
      <c r="B150" s="3" t="s">
        <v>283</v>
      </c>
      <c r="C150" s="3">
        <v>3</v>
      </c>
      <c r="D150" s="32">
        <v>49000</v>
      </c>
      <c r="E150" s="32">
        <f t="shared" si="11"/>
        <v>147000</v>
      </c>
      <c r="F150" s="30"/>
      <c r="G150" s="3"/>
      <c r="H150" s="37"/>
    </row>
    <row r="151" spans="1:8" x14ac:dyDescent="0.35">
      <c r="A151" s="28">
        <f t="shared" si="13"/>
        <v>43173</v>
      </c>
      <c r="B151" s="3" t="s">
        <v>112</v>
      </c>
      <c r="C151" s="3">
        <v>4</v>
      </c>
      <c r="D151" s="32">
        <v>43000</v>
      </c>
      <c r="E151" s="32">
        <f t="shared" si="11"/>
        <v>172000</v>
      </c>
      <c r="F151" s="30"/>
      <c r="G151" s="3"/>
      <c r="H151" s="37"/>
    </row>
    <row r="152" spans="1:8" x14ac:dyDescent="0.35">
      <c r="A152" s="28">
        <f t="shared" si="13"/>
        <v>43173</v>
      </c>
      <c r="B152" s="3" t="s">
        <v>352</v>
      </c>
      <c r="C152" s="3">
        <v>3</v>
      </c>
      <c r="D152" s="32">
        <v>46000</v>
      </c>
      <c r="E152" s="32">
        <f t="shared" si="11"/>
        <v>138000</v>
      </c>
      <c r="F152" s="30"/>
      <c r="G152" s="3"/>
      <c r="H152" s="37"/>
    </row>
    <row r="153" spans="1:8" x14ac:dyDescent="0.35">
      <c r="A153" s="28"/>
      <c r="B153" s="3"/>
      <c r="C153" s="3"/>
      <c r="D153" s="32"/>
      <c r="E153" s="32">
        <f t="shared" si="11"/>
        <v>0</v>
      </c>
      <c r="F153" s="30"/>
      <c r="G153" s="3"/>
      <c r="H153" s="37"/>
    </row>
    <row r="154" spans="1:8" x14ac:dyDescent="0.35">
      <c r="A154" s="28">
        <v>43174</v>
      </c>
      <c r="B154" s="3" t="s">
        <v>140</v>
      </c>
      <c r="C154" s="3">
        <v>1</v>
      </c>
      <c r="D154" s="32">
        <v>56000</v>
      </c>
      <c r="E154" s="32">
        <f t="shared" si="11"/>
        <v>56000</v>
      </c>
      <c r="F154" s="30"/>
      <c r="G154" s="3"/>
      <c r="H154" s="37"/>
    </row>
    <row r="155" spans="1:8" x14ac:dyDescent="0.35">
      <c r="A155" s="28">
        <f>$A$154</f>
        <v>43174</v>
      </c>
      <c r="B155" s="3" t="s">
        <v>109</v>
      </c>
      <c r="C155" s="3">
        <v>50</v>
      </c>
      <c r="D155" s="32">
        <v>37000</v>
      </c>
      <c r="E155" s="32">
        <f t="shared" si="11"/>
        <v>1850000</v>
      </c>
      <c r="F155" s="30"/>
      <c r="G155" s="3"/>
      <c r="H155" s="37"/>
    </row>
    <row r="156" spans="1:8" x14ac:dyDescent="0.35">
      <c r="A156" s="28">
        <f t="shared" ref="A156:A173" si="14">$A$154</f>
        <v>43174</v>
      </c>
      <c r="B156" s="3" t="s">
        <v>353</v>
      </c>
      <c r="C156" s="3">
        <v>5</v>
      </c>
      <c r="D156" s="32">
        <v>50000</v>
      </c>
      <c r="E156" s="32">
        <f t="shared" si="11"/>
        <v>250000</v>
      </c>
      <c r="F156" s="30"/>
      <c r="G156" s="3"/>
      <c r="H156" s="37"/>
    </row>
    <row r="157" spans="1:8" x14ac:dyDescent="0.35">
      <c r="A157" s="28">
        <f t="shared" si="14"/>
        <v>43174</v>
      </c>
      <c r="B157" s="3" t="s">
        <v>354</v>
      </c>
      <c r="C157" s="3">
        <v>15</v>
      </c>
      <c r="D157" s="32">
        <v>3500</v>
      </c>
      <c r="E157" s="32">
        <f t="shared" si="11"/>
        <v>52500</v>
      </c>
      <c r="F157" s="30"/>
      <c r="G157" s="3"/>
      <c r="H157" s="37"/>
    </row>
    <row r="158" spans="1:8" x14ac:dyDescent="0.35">
      <c r="A158" s="28">
        <f t="shared" si="14"/>
        <v>43174</v>
      </c>
      <c r="B158" s="3" t="s">
        <v>349</v>
      </c>
      <c r="C158" s="3">
        <v>3</v>
      </c>
      <c r="D158" s="32">
        <v>50000</v>
      </c>
      <c r="E158" s="32">
        <f t="shared" si="11"/>
        <v>150000</v>
      </c>
      <c r="F158" s="30"/>
      <c r="G158" s="3"/>
      <c r="H158" s="37"/>
    </row>
    <row r="159" spans="1:8" x14ac:dyDescent="0.35">
      <c r="A159" s="28">
        <f t="shared" si="14"/>
        <v>43174</v>
      </c>
      <c r="B159" s="3" t="s">
        <v>24</v>
      </c>
      <c r="C159" s="3">
        <v>1</v>
      </c>
      <c r="D159" s="32">
        <v>58000</v>
      </c>
      <c r="E159" s="32">
        <f t="shared" si="11"/>
        <v>58000</v>
      </c>
      <c r="F159" s="30"/>
      <c r="G159" s="3"/>
      <c r="H159" s="37"/>
    </row>
    <row r="160" spans="1:8" x14ac:dyDescent="0.35">
      <c r="A160" s="28">
        <f t="shared" si="14"/>
        <v>43174</v>
      </c>
      <c r="B160" s="3" t="s">
        <v>95</v>
      </c>
      <c r="C160" s="3">
        <v>3</v>
      </c>
      <c r="D160" s="32">
        <v>50000</v>
      </c>
      <c r="E160" s="32">
        <f t="shared" si="11"/>
        <v>150000</v>
      </c>
      <c r="F160" s="30"/>
      <c r="G160" s="3"/>
      <c r="H160" s="37"/>
    </row>
    <row r="161" spans="1:8" x14ac:dyDescent="0.35">
      <c r="A161" s="28">
        <f t="shared" si="14"/>
        <v>43174</v>
      </c>
      <c r="B161" s="3" t="s">
        <v>348</v>
      </c>
      <c r="C161" s="3">
        <v>3</v>
      </c>
      <c r="D161" s="32">
        <v>56000</v>
      </c>
      <c r="E161" s="32">
        <f t="shared" si="11"/>
        <v>168000</v>
      </c>
      <c r="F161" s="30"/>
      <c r="G161" s="3"/>
      <c r="H161" s="37"/>
    </row>
    <row r="162" spans="1:8" x14ac:dyDescent="0.35">
      <c r="A162" s="28">
        <f t="shared" si="14"/>
        <v>43174</v>
      </c>
      <c r="B162" s="3" t="s">
        <v>169</v>
      </c>
      <c r="C162" s="3">
        <v>3</v>
      </c>
      <c r="D162" s="32">
        <v>58000</v>
      </c>
      <c r="E162" s="32">
        <f t="shared" si="11"/>
        <v>174000</v>
      </c>
      <c r="F162" s="30"/>
      <c r="G162" s="3"/>
      <c r="H162" s="37"/>
    </row>
    <row r="163" spans="1:8" x14ac:dyDescent="0.35">
      <c r="A163" s="28">
        <f t="shared" si="14"/>
        <v>43174</v>
      </c>
      <c r="B163" s="3" t="s">
        <v>34</v>
      </c>
      <c r="C163" s="3">
        <v>16</v>
      </c>
      <c r="D163" s="32">
        <v>47000</v>
      </c>
      <c r="E163" s="32">
        <f t="shared" si="11"/>
        <v>752000</v>
      </c>
      <c r="F163" s="30"/>
      <c r="G163" s="3"/>
      <c r="H163" s="37"/>
    </row>
    <row r="164" spans="1:8" x14ac:dyDescent="0.35">
      <c r="A164" s="28">
        <f t="shared" si="14"/>
        <v>43174</v>
      </c>
      <c r="B164" s="3" t="s">
        <v>355</v>
      </c>
      <c r="C164" s="3">
        <v>22</v>
      </c>
      <c r="D164" s="32">
        <v>8500</v>
      </c>
      <c r="E164" s="32">
        <f t="shared" si="11"/>
        <v>187000</v>
      </c>
      <c r="F164" s="30"/>
      <c r="G164" s="3"/>
      <c r="H164" s="37"/>
    </row>
    <row r="165" spans="1:8" x14ac:dyDescent="0.35">
      <c r="A165" s="28">
        <f t="shared" si="14"/>
        <v>43174</v>
      </c>
      <c r="B165" s="3" t="s">
        <v>211</v>
      </c>
      <c r="C165" s="3">
        <v>15</v>
      </c>
      <c r="D165" s="32">
        <v>8500</v>
      </c>
      <c r="E165" s="32">
        <f t="shared" si="11"/>
        <v>127500</v>
      </c>
      <c r="F165" s="30"/>
      <c r="G165" s="3"/>
      <c r="H165" s="37"/>
    </row>
    <row r="166" spans="1:8" x14ac:dyDescent="0.35">
      <c r="A166" s="28">
        <f t="shared" si="14"/>
        <v>43174</v>
      </c>
      <c r="B166" s="3" t="s">
        <v>168</v>
      </c>
      <c r="C166" s="3">
        <v>23</v>
      </c>
      <c r="D166" s="32">
        <v>1600</v>
      </c>
      <c r="E166" s="32">
        <f t="shared" si="11"/>
        <v>36800</v>
      </c>
      <c r="F166" s="30"/>
      <c r="G166" s="3"/>
      <c r="H166" s="37"/>
    </row>
    <row r="167" spans="1:8" x14ac:dyDescent="0.35">
      <c r="A167" s="28">
        <f t="shared" si="14"/>
        <v>43174</v>
      </c>
      <c r="B167" s="3" t="s">
        <v>68</v>
      </c>
      <c r="C167" s="3">
        <v>2</v>
      </c>
      <c r="D167" s="32">
        <v>15000</v>
      </c>
      <c r="E167" s="32">
        <f t="shared" si="11"/>
        <v>30000</v>
      </c>
      <c r="F167" s="30"/>
      <c r="G167" s="3"/>
      <c r="H167" s="37"/>
    </row>
    <row r="168" spans="1:8" x14ac:dyDescent="0.35">
      <c r="A168" s="28">
        <f t="shared" si="14"/>
        <v>43174</v>
      </c>
      <c r="B168" s="3" t="s">
        <v>300</v>
      </c>
      <c r="C168" s="3">
        <v>9</v>
      </c>
      <c r="D168" s="32">
        <v>56000</v>
      </c>
      <c r="E168" s="32">
        <f t="shared" si="11"/>
        <v>504000</v>
      </c>
      <c r="F168" s="30"/>
      <c r="G168" s="3"/>
      <c r="H168" s="37"/>
    </row>
    <row r="169" spans="1:8" x14ac:dyDescent="0.35">
      <c r="A169" s="28">
        <f t="shared" si="14"/>
        <v>43174</v>
      </c>
      <c r="B169" s="3" t="s">
        <v>7</v>
      </c>
      <c r="C169" s="3">
        <v>16</v>
      </c>
      <c r="D169" s="32">
        <v>47000</v>
      </c>
      <c r="E169" s="32">
        <f t="shared" si="11"/>
        <v>752000</v>
      </c>
      <c r="F169" s="30"/>
      <c r="G169" s="3"/>
      <c r="H169" s="37"/>
    </row>
    <row r="170" spans="1:8" x14ac:dyDescent="0.35">
      <c r="A170" s="28">
        <f t="shared" si="14"/>
        <v>43174</v>
      </c>
      <c r="B170" s="3" t="s">
        <v>102</v>
      </c>
      <c r="C170" s="3">
        <v>1</v>
      </c>
      <c r="D170" s="32">
        <v>15000</v>
      </c>
      <c r="E170" s="32">
        <f t="shared" si="11"/>
        <v>15000</v>
      </c>
      <c r="F170" s="30"/>
      <c r="G170" s="3"/>
      <c r="H170" s="37"/>
    </row>
    <row r="171" spans="1:8" x14ac:dyDescent="0.35">
      <c r="A171" s="28">
        <f t="shared" si="14"/>
        <v>43174</v>
      </c>
      <c r="B171" s="3" t="s">
        <v>4</v>
      </c>
      <c r="C171" s="3">
        <v>10</v>
      </c>
      <c r="D171" s="32">
        <v>38000</v>
      </c>
      <c r="E171" s="32">
        <f t="shared" si="11"/>
        <v>380000</v>
      </c>
      <c r="F171" s="30"/>
      <c r="G171" s="3"/>
      <c r="H171" s="37"/>
    </row>
    <row r="172" spans="1:8" x14ac:dyDescent="0.35">
      <c r="A172" s="28">
        <f t="shared" si="14"/>
        <v>43174</v>
      </c>
      <c r="B172" s="3" t="s">
        <v>304</v>
      </c>
      <c r="C172" s="3">
        <v>3</v>
      </c>
      <c r="D172" s="32">
        <v>50000</v>
      </c>
      <c r="E172" s="32">
        <f t="shared" si="11"/>
        <v>150000</v>
      </c>
      <c r="F172" s="30"/>
      <c r="G172" s="3"/>
      <c r="H172" s="37"/>
    </row>
    <row r="173" spans="1:8" x14ac:dyDescent="0.35">
      <c r="A173" s="28">
        <f t="shared" si="14"/>
        <v>43174</v>
      </c>
      <c r="B173" s="3" t="s">
        <v>354</v>
      </c>
      <c r="C173" s="3">
        <v>10</v>
      </c>
      <c r="D173" s="32">
        <v>2000</v>
      </c>
      <c r="E173" s="32">
        <f t="shared" si="11"/>
        <v>20000</v>
      </c>
      <c r="F173" s="30"/>
      <c r="G173" s="3"/>
      <c r="H173" s="37"/>
    </row>
    <row r="174" spans="1:8" x14ac:dyDescent="0.35">
      <c r="A174" s="28"/>
      <c r="B174" s="3"/>
      <c r="C174" s="3"/>
      <c r="D174" s="32"/>
      <c r="E174" s="32">
        <f t="shared" si="11"/>
        <v>0</v>
      </c>
      <c r="F174" s="30"/>
      <c r="G174" s="3"/>
      <c r="H174" s="37"/>
    </row>
    <row r="175" spans="1:8" x14ac:dyDescent="0.35">
      <c r="A175" s="28">
        <v>43175</v>
      </c>
      <c r="B175" s="3" t="s">
        <v>356</v>
      </c>
      <c r="C175" s="3">
        <v>25</v>
      </c>
      <c r="D175" s="32">
        <v>3500</v>
      </c>
      <c r="E175" s="32">
        <f t="shared" si="11"/>
        <v>87500</v>
      </c>
      <c r="F175" s="30"/>
      <c r="G175" s="3"/>
      <c r="H175" s="37"/>
    </row>
    <row r="176" spans="1:8" x14ac:dyDescent="0.35">
      <c r="A176" s="28">
        <f>$A$175</f>
        <v>43175</v>
      </c>
      <c r="B176" s="3" t="s">
        <v>159</v>
      </c>
      <c r="C176" s="3">
        <v>5</v>
      </c>
      <c r="D176" s="32">
        <v>54000</v>
      </c>
      <c r="E176" s="32">
        <f t="shared" si="11"/>
        <v>270000</v>
      </c>
      <c r="F176" s="30"/>
      <c r="G176" s="3"/>
      <c r="H176" s="37"/>
    </row>
    <row r="177" spans="1:8" x14ac:dyDescent="0.35">
      <c r="A177" s="28">
        <f t="shared" ref="A177:A178" si="15">$A$175</f>
        <v>43175</v>
      </c>
      <c r="B177" s="3" t="s">
        <v>4</v>
      </c>
      <c r="C177" s="3">
        <v>1</v>
      </c>
      <c r="D177" s="32">
        <v>38000</v>
      </c>
      <c r="E177" s="32">
        <f t="shared" si="11"/>
        <v>38000</v>
      </c>
      <c r="F177" s="30"/>
      <c r="G177" s="3"/>
      <c r="H177" s="37"/>
    </row>
    <row r="178" spans="1:8" x14ac:dyDescent="0.35">
      <c r="A178" s="28">
        <f t="shared" si="15"/>
        <v>43175</v>
      </c>
      <c r="B178" s="3" t="s">
        <v>4</v>
      </c>
      <c r="C178" s="3">
        <v>1</v>
      </c>
      <c r="D178" s="32">
        <v>37500</v>
      </c>
      <c r="E178" s="32">
        <f t="shared" si="11"/>
        <v>37500</v>
      </c>
      <c r="F178" s="30"/>
      <c r="G178" s="3"/>
      <c r="H178" s="37"/>
    </row>
    <row r="179" spans="1:8" x14ac:dyDescent="0.35">
      <c r="A179" s="28"/>
      <c r="B179" s="3"/>
      <c r="C179" s="3"/>
      <c r="D179" s="32"/>
      <c r="E179" s="32">
        <f t="shared" si="11"/>
        <v>0</v>
      </c>
      <c r="F179" s="30"/>
      <c r="G179" s="3"/>
      <c r="H179" s="37"/>
    </row>
    <row r="180" spans="1:8" x14ac:dyDescent="0.35">
      <c r="A180" s="28">
        <v>43176</v>
      </c>
      <c r="B180" s="3" t="s">
        <v>260</v>
      </c>
      <c r="C180" s="3">
        <v>1</v>
      </c>
      <c r="D180" s="32">
        <v>46000</v>
      </c>
      <c r="E180" s="32">
        <f t="shared" si="11"/>
        <v>46000</v>
      </c>
      <c r="F180" s="30"/>
      <c r="G180" s="3"/>
      <c r="H180" s="37"/>
    </row>
    <row r="181" spans="1:8" x14ac:dyDescent="0.35">
      <c r="A181" s="28">
        <v>43176</v>
      </c>
      <c r="B181" s="3" t="s">
        <v>92</v>
      </c>
      <c r="C181" s="3">
        <v>6</v>
      </c>
      <c r="D181" s="32">
        <v>1600</v>
      </c>
      <c r="E181" s="32">
        <f t="shared" si="11"/>
        <v>9600</v>
      </c>
      <c r="F181" s="30"/>
      <c r="G181" s="3"/>
      <c r="H181" s="37"/>
    </row>
    <row r="182" spans="1:8" x14ac:dyDescent="0.35">
      <c r="A182" s="28"/>
      <c r="B182" s="3"/>
      <c r="C182" s="3"/>
      <c r="D182" s="32"/>
      <c r="E182" s="32">
        <f t="shared" si="11"/>
        <v>0</v>
      </c>
      <c r="F182" s="30"/>
      <c r="G182" s="3"/>
      <c r="H182" s="37"/>
    </row>
    <row r="183" spans="1:8" x14ac:dyDescent="0.35">
      <c r="A183" s="28">
        <v>43178</v>
      </c>
      <c r="B183" s="3" t="s">
        <v>35</v>
      </c>
      <c r="C183" s="3">
        <v>2</v>
      </c>
      <c r="D183" s="32">
        <v>34000</v>
      </c>
      <c r="E183" s="32">
        <f t="shared" si="11"/>
        <v>68000</v>
      </c>
      <c r="F183" s="30"/>
      <c r="G183" s="3"/>
      <c r="H183" s="37"/>
    </row>
    <row r="184" spans="1:8" x14ac:dyDescent="0.35">
      <c r="A184" s="28">
        <f>$A$183</f>
        <v>43178</v>
      </c>
      <c r="B184" s="3" t="s">
        <v>34</v>
      </c>
      <c r="C184" s="3">
        <v>2</v>
      </c>
      <c r="D184" s="32">
        <v>47000</v>
      </c>
      <c r="E184" s="32">
        <f t="shared" si="11"/>
        <v>94000</v>
      </c>
      <c r="F184" s="30"/>
      <c r="G184" s="3"/>
      <c r="H184" s="37"/>
    </row>
    <row r="185" spans="1:8" x14ac:dyDescent="0.35">
      <c r="A185" s="28">
        <f t="shared" ref="A185:A197" si="16">$A$183</f>
        <v>43178</v>
      </c>
      <c r="B185" s="3" t="s">
        <v>298</v>
      </c>
      <c r="C185" s="3">
        <v>2</v>
      </c>
      <c r="D185" s="32">
        <v>58000</v>
      </c>
      <c r="E185" s="32">
        <f t="shared" si="11"/>
        <v>116000</v>
      </c>
      <c r="F185" s="30"/>
      <c r="G185" s="3"/>
      <c r="H185" s="37"/>
    </row>
    <row r="186" spans="1:8" x14ac:dyDescent="0.35">
      <c r="A186" s="28">
        <f t="shared" si="16"/>
        <v>43178</v>
      </c>
      <c r="B186" s="3" t="s">
        <v>107</v>
      </c>
      <c r="C186" s="3">
        <v>5</v>
      </c>
      <c r="D186" s="32">
        <v>1500</v>
      </c>
      <c r="E186" s="32">
        <f t="shared" si="11"/>
        <v>7500</v>
      </c>
      <c r="F186" s="30"/>
      <c r="G186" s="3"/>
      <c r="H186" s="37"/>
    </row>
    <row r="187" spans="1:8" x14ac:dyDescent="0.35">
      <c r="A187" s="28">
        <f t="shared" si="16"/>
        <v>43178</v>
      </c>
      <c r="B187" s="3" t="s">
        <v>357</v>
      </c>
      <c r="C187" s="3">
        <v>1</v>
      </c>
      <c r="D187" s="32">
        <v>45000</v>
      </c>
      <c r="E187" s="32">
        <f t="shared" si="11"/>
        <v>45000</v>
      </c>
      <c r="F187" s="30"/>
      <c r="G187" s="3"/>
      <c r="H187" s="37"/>
    </row>
    <row r="188" spans="1:8" x14ac:dyDescent="0.35">
      <c r="A188" s="28">
        <f t="shared" si="16"/>
        <v>43178</v>
      </c>
      <c r="B188" s="3" t="s">
        <v>24</v>
      </c>
      <c r="C188" s="3">
        <v>1</v>
      </c>
      <c r="D188" s="32">
        <v>58000</v>
      </c>
      <c r="E188" s="32">
        <f t="shared" si="11"/>
        <v>58000</v>
      </c>
      <c r="F188" s="30"/>
      <c r="G188" s="3"/>
      <c r="H188" s="37"/>
    </row>
    <row r="189" spans="1:8" x14ac:dyDescent="0.35">
      <c r="A189" s="28">
        <f t="shared" si="16"/>
        <v>43178</v>
      </c>
      <c r="B189" s="3" t="s">
        <v>358</v>
      </c>
      <c r="C189" s="3">
        <v>15</v>
      </c>
      <c r="D189" s="32">
        <v>1400</v>
      </c>
      <c r="E189" s="32">
        <f t="shared" si="11"/>
        <v>21000</v>
      </c>
      <c r="F189" s="30"/>
      <c r="G189" s="3"/>
      <c r="H189" s="37"/>
    </row>
    <row r="190" spans="1:8" x14ac:dyDescent="0.35">
      <c r="A190" s="28">
        <f t="shared" si="16"/>
        <v>43178</v>
      </c>
      <c r="B190" s="3" t="s">
        <v>359</v>
      </c>
      <c r="C190" s="3">
        <v>1</v>
      </c>
      <c r="D190" s="32">
        <v>46000</v>
      </c>
      <c r="E190" s="32">
        <f t="shared" si="11"/>
        <v>46000</v>
      </c>
      <c r="F190" s="30"/>
      <c r="G190" s="3"/>
      <c r="H190" s="37"/>
    </row>
    <row r="191" spans="1:8" x14ac:dyDescent="0.35">
      <c r="A191" s="28">
        <f t="shared" si="16"/>
        <v>43178</v>
      </c>
      <c r="B191" s="3" t="s">
        <v>183</v>
      </c>
      <c r="C191" s="3">
        <v>2</v>
      </c>
      <c r="D191" s="32">
        <v>28000</v>
      </c>
      <c r="E191" s="32">
        <f t="shared" si="11"/>
        <v>56000</v>
      </c>
      <c r="F191" s="30"/>
      <c r="G191" s="3"/>
      <c r="H191" s="37"/>
    </row>
    <row r="192" spans="1:8" x14ac:dyDescent="0.35">
      <c r="A192" s="28">
        <f t="shared" si="16"/>
        <v>43178</v>
      </c>
      <c r="B192" s="3" t="s">
        <v>169</v>
      </c>
      <c r="C192" s="3">
        <v>13</v>
      </c>
      <c r="D192" s="32">
        <v>53000</v>
      </c>
      <c r="E192" s="32">
        <f t="shared" si="11"/>
        <v>689000</v>
      </c>
      <c r="F192" s="30"/>
      <c r="G192" s="3"/>
      <c r="H192" s="37"/>
    </row>
    <row r="193" spans="1:8" x14ac:dyDescent="0.35">
      <c r="A193" s="28">
        <f t="shared" si="16"/>
        <v>43178</v>
      </c>
      <c r="B193" s="3" t="s">
        <v>360</v>
      </c>
      <c r="C193" s="3">
        <v>2</v>
      </c>
      <c r="D193" s="32">
        <v>47500</v>
      </c>
      <c r="E193" s="32">
        <f t="shared" si="11"/>
        <v>95000</v>
      </c>
      <c r="F193" s="30"/>
      <c r="G193" s="3"/>
      <c r="H193" s="37"/>
    </row>
    <row r="194" spans="1:8" x14ac:dyDescent="0.35">
      <c r="A194" s="28">
        <f t="shared" si="16"/>
        <v>43178</v>
      </c>
      <c r="B194" s="3" t="s">
        <v>25</v>
      </c>
      <c r="C194" s="3">
        <v>20</v>
      </c>
      <c r="D194" s="32">
        <v>54000</v>
      </c>
      <c r="E194" s="32">
        <f t="shared" si="11"/>
        <v>1080000</v>
      </c>
      <c r="F194" s="30"/>
      <c r="G194" s="3"/>
      <c r="H194" s="37"/>
    </row>
    <row r="195" spans="1:8" x14ac:dyDescent="0.35">
      <c r="A195" s="28">
        <f t="shared" si="16"/>
        <v>43178</v>
      </c>
      <c r="B195" s="3" t="s">
        <v>136</v>
      </c>
      <c r="C195" s="3">
        <v>1</v>
      </c>
      <c r="D195" s="32">
        <v>58000</v>
      </c>
      <c r="E195" s="32">
        <f t="shared" si="11"/>
        <v>58000</v>
      </c>
      <c r="F195" s="30"/>
      <c r="G195" s="3"/>
      <c r="H195" s="37"/>
    </row>
    <row r="196" spans="1:8" x14ac:dyDescent="0.35">
      <c r="A196" s="28">
        <f t="shared" si="16"/>
        <v>43178</v>
      </c>
      <c r="B196" s="3" t="s">
        <v>160</v>
      </c>
      <c r="C196" s="3">
        <v>1</v>
      </c>
      <c r="D196" s="32">
        <v>56000</v>
      </c>
      <c r="E196" s="32">
        <f t="shared" ref="E196:E259" si="17">D196*C196</f>
        <v>56000</v>
      </c>
      <c r="F196" s="30"/>
      <c r="G196" s="3"/>
      <c r="H196" s="37"/>
    </row>
    <row r="197" spans="1:8" x14ac:dyDescent="0.35">
      <c r="A197" s="28">
        <f t="shared" si="16"/>
        <v>43178</v>
      </c>
      <c r="B197" s="3" t="s">
        <v>361</v>
      </c>
      <c r="C197" s="3">
        <v>1</v>
      </c>
      <c r="D197" s="32">
        <v>16000</v>
      </c>
      <c r="E197" s="32">
        <f t="shared" si="17"/>
        <v>16000</v>
      </c>
      <c r="F197" s="30"/>
      <c r="G197" s="3"/>
      <c r="H197" s="37"/>
    </row>
    <row r="198" spans="1:8" x14ac:dyDescent="0.35">
      <c r="A198" s="28"/>
      <c r="B198" s="3"/>
      <c r="C198" s="3"/>
      <c r="D198" s="32"/>
      <c r="E198" s="32">
        <f t="shared" si="17"/>
        <v>0</v>
      </c>
      <c r="F198" s="30"/>
      <c r="G198" s="3"/>
      <c r="H198" s="37"/>
    </row>
    <row r="199" spans="1:8" x14ac:dyDescent="0.35">
      <c r="A199" s="28">
        <v>43179</v>
      </c>
      <c r="B199" s="3" t="s">
        <v>4</v>
      </c>
      <c r="C199" s="3">
        <v>3</v>
      </c>
      <c r="D199" s="32">
        <v>38000</v>
      </c>
      <c r="E199" s="32">
        <f t="shared" si="17"/>
        <v>114000</v>
      </c>
      <c r="F199" s="30"/>
      <c r="G199" s="3"/>
      <c r="H199" s="37"/>
    </row>
    <row r="200" spans="1:8" x14ac:dyDescent="0.35">
      <c r="A200" s="28">
        <f>$A$199</f>
        <v>43179</v>
      </c>
      <c r="B200" s="3" t="s">
        <v>276</v>
      </c>
      <c r="C200" s="3">
        <v>4</v>
      </c>
      <c r="D200" s="32">
        <v>55000</v>
      </c>
      <c r="E200" s="32">
        <f t="shared" si="17"/>
        <v>220000</v>
      </c>
      <c r="F200" s="30"/>
      <c r="G200" s="3"/>
      <c r="H200" s="37"/>
    </row>
    <row r="201" spans="1:8" x14ac:dyDescent="0.35">
      <c r="A201" s="28">
        <f t="shared" ref="A201:A209" si="18">$A$199</f>
        <v>43179</v>
      </c>
      <c r="B201" s="3" t="s">
        <v>244</v>
      </c>
      <c r="C201" s="3">
        <v>20</v>
      </c>
      <c r="D201" s="32">
        <v>800</v>
      </c>
      <c r="E201" s="32">
        <f t="shared" si="17"/>
        <v>16000</v>
      </c>
      <c r="F201" s="30"/>
      <c r="G201" s="3"/>
      <c r="H201" s="37"/>
    </row>
    <row r="202" spans="1:8" x14ac:dyDescent="0.35">
      <c r="A202" s="28">
        <f t="shared" si="18"/>
        <v>43179</v>
      </c>
      <c r="B202" s="3" t="s">
        <v>256</v>
      </c>
      <c r="C202" s="3">
        <v>12</v>
      </c>
      <c r="D202" s="32">
        <v>44500</v>
      </c>
      <c r="E202" s="32">
        <f t="shared" si="17"/>
        <v>534000</v>
      </c>
      <c r="F202" s="30"/>
      <c r="G202" s="3"/>
      <c r="H202" s="37"/>
    </row>
    <row r="203" spans="1:8" x14ac:dyDescent="0.35">
      <c r="A203" s="28">
        <f t="shared" si="18"/>
        <v>43179</v>
      </c>
      <c r="B203" s="3" t="s">
        <v>4</v>
      </c>
      <c r="C203" s="3">
        <v>7</v>
      </c>
      <c r="D203" s="32">
        <v>37000</v>
      </c>
      <c r="E203" s="32">
        <f t="shared" si="17"/>
        <v>259000</v>
      </c>
      <c r="F203" s="30"/>
      <c r="G203" s="3"/>
      <c r="H203" s="37"/>
    </row>
    <row r="204" spans="1:8" x14ac:dyDescent="0.35">
      <c r="A204" s="28">
        <f t="shared" si="18"/>
        <v>43179</v>
      </c>
      <c r="B204" s="3" t="s">
        <v>292</v>
      </c>
      <c r="C204" s="3">
        <v>1</v>
      </c>
      <c r="D204" s="32">
        <v>52000</v>
      </c>
      <c r="E204" s="32">
        <f t="shared" si="17"/>
        <v>52000</v>
      </c>
      <c r="F204" s="30"/>
      <c r="G204" s="3"/>
      <c r="H204" s="37"/>
    </row>
    <row r="205" spans="1:8" x14ac:dyDescent="0.35">
      <c r="A205" s="28">
        <f t="shared" si="18"/>
        <v>43179</v>
      </c>
      <c r="B205" s="3" t="s">
        <v>362</v>
      </c>
      <c r="C205" s="3">
        <v>1</v>
      </c>
      <c r="D205" s="32">
        <v>26000</v>
      </c>
      <c r="E205" s="32">
        <f t="shared" si="17"/>
        <v>26000</v>
      </c>
      <c r="F205" s="30"/>
      <c r="G205" s="3"/>
      <c r="H205" s="37"/>
    </row>
    <row r="206" spans="1:8" x14ac:dyDescent="0.35">
      <c r="A206" s="28">
        <f t="shared" si="18"/>
        <v>43179</v>
      </c>
      <c r="B206" s="3" t="s">
        <v>112</v>
      </c>
      <c r="C206" s="3">
        <v>29</v>
      </c>
      <c r="D206" s="32">
        <v>42500</v>
      </c>
      <c r="E206" s="32">
        <f t="shared" si="17"/>
        <v>1232500</v>
      </c>
      <c r="F206" s="30"/>
      <c r="G206" s="3"/>
      <c r="H206" s="37"/>
    </row>
    <row r="207" spans="1:8" x14ac:dyDescent="0.35">
      <c r="A207" s="28">
        <f t="shared" si="18"/>
        <v>43179</v>
      </c>
      <c r="B207" s="3" t="s">
        <v>190</v>
      </c>
      <c r="C207" s="3">
        <v>1</v>
      </c>
      <c r="D207" s="32">
        <v>59000</v>
      </c>
      <c r="E207" s="32">
        <f t="shared" si="17"/>
        <v>59000</v>
      </c>
      <c r="F207" s="30"/>
      <c r="G207" s="3"/>
      <c r="H207" s="37"/>
    </row>
    <row r="208" spans="1:8" x14ac:dyDescent="0.35">
      <c r="A208" s="28">
        <f t="shared" si="18"/>
        <v>43179</v>
      </c>
      <c r="B208" s="3" t="s">
        <v>178</v>
      </c>
      <c r="C208" s="3">
        <v>10</v>
      </c>
      <c r="D208" s="32">
        <v>48000</v>
      </c>
      <c r="E208" s="32">
        <f t="shared" si="17"/>
        <v>480000</v>
      </c>
      <c r="F208" s="30"/>
      <c r="G208" s="3"/>
      <c r="H208" s="37"/>
    </row>
    <row r="209" spans="1:8" x14ac:dyDescent="0.35">
      <c r="A209" s="28">
        <f t="shared" si="18"/>
        <v>43179</v>
      </c>
      <c r="B209" s="3" t="s">
        <v>183</v>
      </c>
      <c r="C209" s="3">
        <v>2</v>
      </c>
      <c r="D209" s="32">
        <v>28000</v>
      </c>
      <c r="E209" s="32">
        <f t="shared" si="17"/>
        <v>56000</v>
      </c>
      <c r="F209" s="30"/>
      <c r="G209" s="3"/>
      <c r="H209" s="37"/>
    </row>
    <row r="210" spans="1:8" x14ac:dyDescent="0.35">
      <c r="A210" s="28"/>
      <c r="B210" s="3"/>
      <c r="C210" s="3"/>
      <c r="D210" s="32"/>
      <c r="E210" s="32">
        <f t="shared" si="17"/>
        <v>0</v>
      </c>
      <c r="F210" s="30"/>
      <c r="G210" s="3"/>
      <c r="H210" s="37"/>
    </row>
    <row r="211" spans="1:8" x14ac:dyDescent="0.35">
      <c r="A211" s="28">
        <v>43180</v>
      </c>
      <c r="B211" s="3" t="s">
        <v>363</v>
      </c>
      <c r="C211" s="3">
        <v>10</v>
      </c>
      <c r="D211" s="32">
        <v>59000</v>
      </c>
      <c r="E211" s="32">
        <f t="shared" si="17"/>
        <v>590000</v>
      </c>
      <c r="F211" s="30"/>
      <c r="G211" s="3"/>
      <c r="H211" s="37"/>
    </row>
    <row r="212" spans="1:8" x14ac:dyDescent="0.35">
      <c r="A212" s="28">
        <f>$A$211</f>
        <v>43180</v>
      </c>
      <c r="B212" s="3" t="s">
        <v>1</v>
      </c>
      <c r="C212" s="3">
        <v>5</v>
      </c>
      <c r="D212" s="32">
        <v>50000</v>
      </c>
      <c r="E212" s="32">
        <f t="shared" si="17"/>
        <v>250000</v>
      </c>
      <c r="F212" s="30"/>
      <c r="G212" s="3"/>
      <c r="H212" s="37"/>
    </row>
    <row r="213" spans="1:8" x14ac:dyDescent="0.35">
      <c r="A213" s="28">
        <f t="shared" ref="A213:A225" si="19">$A$211</f>
        <v>43180</v>
      </c>
      <c r="B213" s="3" t="s">
        <v>364</v>
      </c>
      <c r="C213" s="3">
        <v>1</v>
      </c>
      <c r="D213" s="32">
        <v>28000</v>
      </c>
      <c r="E213" s="32">
        <f t="shared" si="17"/>
        <v>28000</v>
      </c>
      <c r="F213" s="30"/>
      <c r="G213" s="3"/>
      <c r="H213" s="37"/>
    </row>
    <row r="214" spans="1:8" x14ac:dyDescent="0.35">
      <c r="A214" s="28">
        <f t="shared" si="19"/>
        <v>43180</v>
      </c>
      <c r="B214" s="3" t="s">
        <v>365</v>
      </c>
      <c r="C214" s="3">
        <v>2</v>
      </c>
      <c r="D214" s="32">
        <v>10000</v>
      </c>
      <c r="E214" s="32">
        <f t="shared" si="17"/>
        <v>20000</v>
      </c>
      <c r="F214" s="30"/>
      <c r="G214" s="3"/>
      <c r="H214" s="37"/>
    </row>
    <row r="215" spans="1:8" x14ac:dyDescent="0.35">
      <c r="A215" s="28">
        <f t="shared" si="19"/>
        <v>43180</v>
      </c>
      <c r="B215" s="3" t="s">
        <v>4</v>
      </c>
      <c r="C215" s="3">
        <v>6</v>
      </c>
      <c r="D215" s="32">
        <v>38000</v>
      </c>
      <c r="E215" s="32">
        <f t="shared" si="17"/>
        <v>228000</v>
      </c>
      <c r="F215" s="30"/>
      <c r="G215" s="3"/>
      <c r="H215" s="37"/>
    </row>
    <row r="216" spans="1:8" x14ac:dyDescent="0.35">
      <c r="A216" s="28">
        <f t="shared" si="19"/>
        <v>43180</v>
      </c>
      <c r="B216" s="3" t="s">
        <v>357</v>
      </c>
      <c r="C216" s="3">
        <v>7</v>
      </c>
      <c r="D216" s="32">
        <v>45000</v>
      </c>
      <c r="E216" s="32">
        <f t="shared" si="17"/>
        <v>315000</v>
      </c>
      <c r="F216" s="30"/>
      <c r="G216" s="3"/>
      <c r="H216" s="37"/>
    </row>
    <row r="217" spans="1:8" x14ac:dyDescent="0.35">
      <c r="A217" s="28">
        <f t="shared" si="19"/>
        <v>43180</v>
      </c>
      <c r="B217" s="3" t="s">
        <v>4</v>
      </c>
      <c r="C217" s="3">
        <v>4</v>
      </c>
      <c r="D217" s="32">
        <v>38000</v>
      </c>
      <c r="E217" s="32">
        <f t="shared" si="17"/>
        <v>152000</v>
      </c>
      <c r="F217" s="30"/>
      <c r="G217" s="3"/>
      <c r="H217" s="37"/>
    </row>
    <row r="218" spans="1:8" x14ac:dyDescent="0.35">
      <c r="A218" s="28">
        <f t="shared" si="19"/>
        <v>43180</v>
      </c>
      <c r="B218" s="3" t="s">
        <v>254</v>
      </c>
      <c r="C218" s="3">
        <v>1</v>
      </c>
      <c r="D218" s="32">
        <v>100000</v>
      </c>
      <c r="E218" s="32">
        <f t="shared" si="17"/>
        <v>100000</v>
      </c>
      <c r="F218" s="30"/>
      <c r="G218" s="3"/>
      <c r="H218" s="37"/>
    </row>
    <row r="219" spans="1:8" x14ac:dyDescent="0.35">
      <c r="A219" s="28">
        <f t="shared" si="19"/>
        <v>43180</v>
      </c>
      <c r="B219" s="3" t="s">
        <v>366</v>
      </c>
      <c r="C219" s="3">
        <v>1</v>
      </c>
      <c r="D219" s="32">
        <v>17000</v>
      </c>
      <c r="E219" s="32">
        <f t="shared" si="17"/>
        <v>17000</v>
      </c>
      <c r="F219" s="30"/>
      <c r="G219" s="3"/>
      <c r="H219" s="37"/>
    </row>
    <row r="220" spans="1:8" x14ac:dyDescent="0.35">
      <c r="A220" s="28">
        <f t="shared" si="19"/>
        <v>43180</v>
      </c>
      <c r="B220" s="3" t="s">
        <v>367</v>
      </c>
      <c r="C220" s="3">
        <v>2</v>
      </c>
      <c r="D220" s="32">
        <v>52000</v>
      </c>
      <c r="E220" s="32">
        <f t="shared" si="17"/>
        <v>104000</v>
      </c>
      <c r="F220" s="30"/>
      <c r="G220" s="3"/>
      <c r="H220" s="37"/>
    </row>
    <row r="221" spans="1:8" x14ac:dyDescent="0.35">
      <c r="A221" s="28">
        <f t="shared" si="19"/>
        <v>43180</v>
      </c>
      <c r="B221" s="3" t="s">
        <v>181</v>
      </c>
      <c r="C221" s="3">
        <v>7</v>
      </c>
      <c r="D221" s="32">
        <v>46500</v>
      </c>
      <c r="E221" s="32">
        <f t="shared" si="17"/>
        <v>325500</v>
      </c>
      <c r="F221" s="30"/>
      <c r="G221" s="3"/>
      <c r="H221" s="37"/>
    </row>
    <row r="222" spans="1:8" x14ac:dyDescent="0.35">
      <c r="A222" s="28">
        <f t="shared" si="19"/>
        <v>43180</v>
      </c>
      <c r="B222" s="3" t="s">
        <v>102</v>
      </c>
      <c r="C222" s="3">
        <v>1</v>
      </c>
      <c r="D222" s="32">
        <v>15000</v>
      </c>
      <c r="E222" s="32">
        <f t="shared" si="17"/>
        <v>15000</v>
      </c>
      <c r="F222" s="30"/>
      <c r="G222" s="3"/>
      <c r="H222" s="37"/>
    </row>
    <row r="223" spans="1:8" x14ac:dyDescent="0.35">
      <c r="A223" s="28">
        <f t="shared" si="19"/>
        <v>43180</v>
      </c>
      <c r="B223" s="3" t="s">
        <v>254</v>
      </c>
      <c r="C223" s="3">
        <v>1</v>
      </c>
      <c r="D223" s="32">
        <v>100000</v>
      </c>
      <c r="E223" s="32">
        <f t="shared" si="17"/>
        <v>100000</v>
      </c>
      <c r="F223" s="30"/>
      <c r="G223" s="3"/>
      <c r="H223" s="37"/>
    </row>
    <row r="224" spans="1:8" x14ac:dyDescent="0.35">
      <c r="A224" s="28">
        <f t="shared" si="19"/>
        <v>43180</v>
      </c>
      <c r="B224" s="3" t="s">
        <v>337</v>
      </c>
      <c r="C224" s="3">
        <v>1</v>
      </c>
      <c r="D224" s="32">
        <v>10000</v>
      </c>
      <c r="E224" s="32">
        <f t="shared" si="17"/>
        <v>10000</v>
      </c>
      <c r="F224" s="30"/>
      <c r="G224" s="3"/>
      <c r="H224" s="37"/>
    </row>
    <row r="225" spans="1:8" x14ac:dyDescent="0.35">
      <c r="A225" s="28">
        <f t="shared" si="19"/>
        <v>43180</v>
      </c>
      <c r="B225" s="3" t="s">
        <v>183</v>
      </c>
      <c r="C225" s="3">
        <v>1</v>
      </c>
      <c r="D225" s="32">
        <v>28000</v>
      </c>
      <c r="E225" s="32">
        <f t="shared" si="17"/>
        <v>28000</v>
      </c>
      <c r="F225" s="30"/>
      <c r="G225" s="3"/>
      <c r="H225" s="37"/>
    </row>
    <row r="226" spans="1:8" x14ac:dyDescent="0.35">
      <c r="A226" s="28"/>
      <c r="B226" s="3"/>
      <c r="C226" s="3"/>
      <c r="D226" s="32"/>
      <c r="E226" s="32">
        <f t="shared" si="17"/>
        <v>0</v>
      </c>
      <c r="F226" s="30"/>
      <c r="G226" s="3"/>
      <c r="H226" s="37"/>
    </row>
    <row r="227" spans="1:8" x14ac:dyDescent="0.35">
      <c r="A227" s="28">
        <v>43181</v>
      </c>
      <c r="B227" s="3" t="s">
        <v>4</v>
      </c>
      <c r="C227" s="3">
        <v>1</v>
      </c>
      <c r="D227" s="32">
        <v>38000</v>
      </c>
      <c r="E227" s="32">
        <f t="shared" si="17"/>
        <v>38000</v>
      </c>
      <c r="F227" s="30"/>
      <c r="G227" s="3"/>
      <c r="H227" s="37"/>
    </row>
    <row r="228" spans="1:8" x14ac:dyDescent="0.35">
      <c r="A228" s="28">
        <f>$A$227</f>
        <v>43181</v>
      </c>
      <c r="B228" s="3" t="s">
        <v>4</v>
      </c>
      <c r="C228" s="3">
        <v>3</v>
      </c>
      <c r="D228" s="32">
        <v>38000</v>
      </c>
      <c r="E228" s="32">
        <f t="shared" si="17"/>
        <v>114000</v>
      </c>
      <c r="F228" s="30"/>
      <c r="G228" s="3"/>
      <c r="H228" s="37"/>
    </row>
    <row r="229" spans="1:8" x14ac:dyDescent="0.35">
      <c r="A229" s="28">
        <f t="shared" ref="A229:A233" si="20">$A$227</f>
        <v>43181</v>
      </c>
      <c r="B229" s="3" t="s">
        <v>24</v>
      </c>
      <c r="C229" s="3">
        <v>3</v>
      </c>
      <c r="D229" s="32">
        <v>58000</v>
      </c>
      <c r="E229" s="32">
        <f t="shared" si="17"/>
        <v>174000</v>
      </c>
      <c r="F229" s="30"/>
      <c r="G229" s="3"/>
      <c r="H229" s="37"/>
    </row>
    <row r="230" spans="1:8" x14ac:dyDescent="0.35">
      <c r="A230" s="28">
        <f t="shared" si="20"/>
        <v>43181</v>
      </c>
      <c r="B230" s="3" t="s">
        <v>37</v>
      </c>
      <c r="C230" s="3">
        <v>5</v>
      </c>
      <c r="D230" s="32">
        <v>50000</v>
      </c>
      <c r="E230" s="32">
        <f t="shared" si="17"/>
        <v>250000</v>
      </c>
      <c r="F230" s="30"/>
      <c r="G230" s="3"/>
      <c r="H230" s="37"/>
    </row>
    <row r="231" spans="1:8" x14ac:dyDescent="0.35">
      <c r="A231" s="28">
        <f t="shared" si="20"/>
        <v>43181</v>
      </c>
      <c r="B231" s="3" t="s">
        <v>263</v>
      </c>
      <c r="C231" s="3">
        <v>20</v>
      </c>
      <c r="D231" s="32">
        <v>1500</v>
      </c>
      <c r="E231" s="32">
        <f t="shared" si="17"/>
        <v>30000</v>
      </c>
      <c r="F231" s="30"/>
      <c r="G231" s="3"/>
      <c r="H231" s="37"/>
    </row>
    <row r="232" spans="1:8" x14ac:dyDescent="0.35">
      <c r="A232" s="28">
        <f t="shared" si="20"/>
        <v>43181</v>
      </c>
      <c r="B232" s="3" t="s">
        <v>4</v>
      </c>
      <c r="C232" s="3">
        <v>45</v>
      </c>
      <c r="D232" s="32">
        <v>37000</v>
      </c>
      <c r="E232" s="32">
        <f t="shared" si="17"/>
        <v>1665000</v>
      </c>
      <c r="F232" s="30"/>
      <c r="G232" s="3"/>
      <c r="H232" s="37"/>
    </row>
    <row r="233" spans="1:8" x14ac:dyDescent="0.35">
      <c r="A233" s="28">
        <f t="shared" si="20"/>
        <v>43181</v>
      </c>
      <c r="B233" s="3" t="s">
        <v>300</v>
      </c>
      <c r="C233" s="3">
        <v>5</v>
      </c>
      <c r="D233" s="32">
        <v>50000</v>
      </c>
      <c r="E233" s="32">
        <f t="shared" si="17"/>
        <v>250000</v>
      </c>
      <c r="F233" s="30"/>
      <c r="G233" s="3"/>
      <c r="H233" s="37"/>
    </row>
    <row r="234" spans="1:8" x14ac:dyDescent="0.35">
      <c r="A234" s="28"/>
      <c r="B234" s="3"/>
      <c r="C234" s="3"/>
      <c r="D234" s="32"/>
      <c r="E234" s="32">
        <f t="shared" si="17"/>
        <v>0</v>
      </c>
      <c r="F234" s="30"/>
      <c r="G234" s="3"/>
      <c r="H234" s="37"/>
    </row>
    <row r="235" spans="1:8" x14ac:dyDescent="0.35">
      <c r="A235" s="28">
        <v>43182</v>
      </c>
      <c r="B235" s="3" t="s">
        <v>368</v>
      </c>
      <c r="C235" s="3">
        <v>2</v>
      </c>
      <c r="D235" s="32">
        <v>47500</v>
      </c>
      <c r="E235" s="32">
        <f t="shared" si="17"/>
        <v>95000</v>
      </c>
      <c r="F235" s="30"/>
      <c r="G235" s="3"/>
      <c r="H235" s="37"/>
    </row>
    <row r="236" spans="1:8" x14ac:dyDescent="0.35">
      <c r="A236" s="28">
        <v>43182</v>
      </c>
      <c r="B236" s="3" t="s">
        <v>169</v>
      </c>
      <c r="C236" s="3">
        <v>1</v>
      </c>
      <c r="D236" s="32">
        <v>57000</v>
      </c>
      <c r="E236" s="32">
        <f t="shared" si="17"/>
        <v>57000</v>
      </c>
      <c r="F236" s="30"/>
      <c r="G236" s="3"/>
      <c r="H236" s="37"/>
    </row>
    <row r="237" spans="1:8" x14ac:dyDescent="0.35">
      <c r="A237" s="28"/>
      <c r="B237" s="3"/>
      <c r="C237" s="3"/>
      <c r="D237" s="32"/>
      <c r="E237" s="32">
        <f t="shared" si="17"/>
        <v>0</v>
      </c>
      <c r="F237" s="30"/>
      <c r="G237" s="3"/>
      <c r="H237" s="37"/>
    </row>
    <row r="238" spans="1:8" x14ac:dyDescent="0.35">
      <c r="A238" s="28">
        <v>43183</v>
      </c>
      <c r="B238" s="3" t="s">
        <v>73</v>
      </c>
      <c r="C238" s="3">
        <v>2</v>
      </c>
      <c r="D238" s="32">
        <v>43000</v>
      </c>
      <c r="E238" s="32">
        <f t="shared" si="17"/>
        <v>86000</v>
      </c>
      <c r="F238" s="30"/>
      <c r="G238" s="3"/>
      <c r="H238" s="37"/>
    </row>
    <row r="239" spans="1:8" x14ac:dyDescent="0.35">
      <c r="A239" s="28">
        <v>43183</v>
      </c>
      <c r="B239" s="3" t="s">
        <v>11</v>
      </c>
      <c r="C239" s="3">
        <v>40</v>
      </c>
      <c r="D239" s="32">
        <v>1500</v>
      </c>
      <c r="E239" s="32">
        <f t="shared" si="17"/>
        <v>60000</v>
      </c>
      <c r="F239" s="30"/>
      <c r="G239" s="3"/>
      <c r="H239" s="37"/>
    </row>
    <row r="240" spans="1:8" x14ac:dyDescent="0.35">
      <c r="A240" s="28">
        <v>43183</v>
      </c>
      <c r="B240" s="3" t="s">
        <v>25</v>
      </c>
      <c r="C240" s="3">
        <v>8</v>
      </c>
      <c r="D240" s="32">
        <v>52000</v>
      </c>
      <c r="E240" s="32">
        <f t="shared" si="17"/>
        <v>416000</v>
      </c>
      <c r="F240" s="30"/>
      <c r="G240" s="3"/>
      <c r="H240" s="37"/>
    </row>
    <row r="241" spans="1:8" x14ac:dyDescent="0.35">
      <c r="A241" s="28">
        <v>43183</v>
      </c>
      <c r="B241" s="3" t="s">
        <v>143</v>
      </c>
      <c r="C241" s="3">
        <v>2</v>
      </c>
      <c r="D241" s="32">
        <v>57000</v>
      </c>
      <c r="E241" s="32">
        <f t="shared" si="17"/>
        <v>114000</v>
      </c>
      <c r="F241" s="30"/>
      <c r="G241" s="3"/>
      <c r="H241" s="37"/>
    </row>
    <row r="242" spans="1:8" x14ac:dyDescent="0.35">
      <c r="A242" s="28">
        <v>43183</v>
      </c>
      <c r="B242" s="3" t="s">
        <v>8</v>
      </c>
      <c r="C242" s="3">
        <v>9</v>
      </c>
      <c r="D242" s="32">
        <v>56000</v>
      </c>
      <c r="E242" s="32">
        <f t="shared" si="17"/>
        <v>504000</v>
      </c>
      <c r="F242" s="30"/>
      <c r="G242" s="3"/>
      <c r="H242" s="37"/>
    </row>
    <row r="243" spans="1:8" x14ac:dyDescent="0.35">
      <c r="A243" s="28">
        <v>43183</v>
      </c>
      <c r="B243" s="3" t="s">
        <v>350</v>
      </c>
      <c r="C243" s="3">
        <v>6</v>
      </c>
      <c r="D243" s="32">
        <v>56000</v>
      </c>
      <c r="E243" s="32">
        <f t="shared" si="17"/>
        <v>336000</v>
      </c>
      <c r="F243" s="30"/>
      <c r="G243" s="3"/>
      <c r="H243" s="37"/>
    </row>
    <row r="244" spans="1:8" x14ac:dyDescent="0.35">
      <c r="A244" s="28">
        <v>43183</v>
      </c>
      <c r="B244" s="3" t="s">
        <v>341</v>
      </c>
      <c r="C244" s="3">
        <v>13</v>
      </c>
      <c r="D244" s="32">
        <v>7500</v>
      </c>
      <c r="E244" s="32">
        <f t="shared" si="17"/>
        <v>97500</v>
      </c>
      <c r="F244" s="30"/>
      <c r="G244" s="3"/>
      <c r="H244" s="37"/>
    </row>
    <row r="245" spans="1:8" x14ac:dyDescent="0.35">
      <c r="A245" s="28">
        <v>43183</v>
      </c>
      <c r="B245" s="3" t="s">
        <v>183</v>
      </c>
      <c r="C245" s="3">
        <v>1</v>
      </c>
      <c r="D245" s="32">
        <v>28000</v>
      </c>
      <c r="E245" s="32">
        <f t="shared" si="17"/>
        <v>28000</v>
      </c>
      <c r="F245" s="30"/>
      <c r="G245" s="3"/>
      <c r="H245" s="37"/>
    </row>
    <row r="246" spans="1:8" x14ac:dyDescent="0.35">
      <c r="A246" s="28">
        <v>43183</v>
      </c>
      <c r="B246" s="3" t="s">
        <v>358</v>
      </c>
      <c r="C246" s="3">
        <v>6</v>
      </c>
      <c r="D246" s="32">
        <v>1500</v>
      </c>
      <c r="E246" s="32">
        <f t="shared" si="17"/>
        <v>9000</v>
      </c>
      <c r="F246" s="30"/>
      <c r="G246" s="3"/>
      <c r="H246" s="37"/>
    </row>
    <row r="247" spans="1:8" x14ac:dyDescent="0.35">
      <c r="A247" s="28">
        <v>43183</v>
      </c>
      <c r="B247" s="3" t="s">
        <v>369</v>
      </c>
      <c r="C247" s="3">
        <v>1</v>
      </c>
      <c r="D247" s="32">
        <v>46000</v>
      </c>
      <c r="E247" s="32">
        <f t="shared" si="17"/>
        <v>46000</v>
      </c>
      <c r="F247" s="30"/>
      <c r="G247" s="3"/>
      <c r="H247" s="37"/>
    </row>
    <row r="248" spans="1:8" x14ac:dyDescent="0.35">
      <c r="A248" s="28">
        <v>43185</v>
      </c>
      <c r="B248" s="3"/>
      <c r="C248" s="3"/>
      <c r="D248" s="32"/>
      <c r="E248" s="32">
        <f t="shared" si="17"/>
        <v>0</v>
      </c>
      <c r="F248" s="30"/>
      <c r="G248" s="3"/>
      <c r="H248" s="37"/>
    </row>
    <row r="249" spans="1:8" x14ac:dyDescent="0.35">
      <c r="A249" s="28">
        <v>43185</v>
      </c>
      <c r="B249" s="3" t="s">
        <v>300</v>
      </c>
      <c r="C249" s="3">
        <v>16</v>
      </c>
      <c r="D249" s="32">
        <v>56000</v>
      </c>
      <c r="E249" s="32">
        <f t="shared" si="17"/>
        <v>896000</v>
      </c>
      <c r="F249" s="30"/>
      <c r="G249" s="3"/>
      <c r="H249" s="37"/>
    </row>
    <row r="250" spans="1:8" x14ac:dyDescent="0.35">
      <c r="A250" s="28">
        <v>43185</v>
      </c>
      <c r="B250" s="3" t="s">
        <v>349</v>
      </c>
      <c r="C250" s="3">
        <v>4</v>
      </c>
      <c r="D250" s="32">
        <v>50000</v>
      </c>
      <c r="E250" s="32">
        <f t="shared" si="17"/>
        <v>200000</v>
      </c>
      <c r="F250" s="30"/>
      <c r="G250" s="3"/>
      <c r="H250" s="37"/>
    </row>
    <row r="251" spans="1:8" x14ac:dyDescent="0.35">
      <c r="A251" s="28">
        <v>43185</v>
      </c>
      <c r="B251" s="3" t="s">
        <v>156</v>
      </c>
      <c r="C251" s="3">
        <v>2</v>
      </c>
      <c r="D251" s="32">
        <v>49000</v>
      </c>
      <c r="E251" s="32">
        <f t="shared" si="17"/>
        <v>98000</v>
      </c>
      <c r="F251" s="30"/>
      <c r="G251" s="3"/>
      <c r="H251" s="37"/>
    </row>
    <row r="252" spans="1:8" x14ac:dyDescent="0.35">
      <c r="A252" s="28">
        <v>43185</v>
      </c>
      <c r="B252" s="3" t="s">
        <v>27</v>
      </c>
      <c r="C252" s="3">
        <v>25</v>
      </c>
      <c r="D252" s="32">
        <v>1600</v>
      </c>
      <c r="E252" s="32">
        <f t="shared" si="17"/>
        <v>40000</v>
      </c>
      <c r="F252" s="30"/>
      <c r="G252" s="3"/>
      <c r="H252" s="37"/>
    </row>
    <row r="253" spans="1:8" x14ac:dyDescent="0.35">
      <c r="A253" s="28">
        <v>43185</v>
      </c>
      <c r="B253" s="3" t="s">
        <v>92</v>
      </c>
      <c r="C253" s="3">
        <v>15</v>
      </c>
      <c r="D253" s="32">
        <v>1600</v>
      </c>
      <c r="E253" s="32">
        <f t="shared" si="17"/>
        <v>24000</v>
      </c>
      <c r="F253" s="30"/>
      <c r="G253" s="3"/>
      <c r="H253" s="37"/>
    </row>
    <row r="254" spans="1:8" x14ac:dyDescent="0.35">
      <c r="A254" s="28">
        <v>43185</v>
      </c>
      <c r="B254" s="3" t="s">
        <v>371</v>
      </c>
      <c r="C254" s="3">
        <v>2</v>
      </c>
      <c r="D254" s="32">
        <v>35000</v>
      </c>
      <c r="E254" s="32">
        <f t="shared" si="17"/>
        <v>70000</v>
      </c>
      <c r="F254" s="30"/>
      <c r="G254" s="3"/>
      <c r="H254" s="37"/>
    </row>
    <row r="255" spans="1:8" x14ac:dyDescent="0.35">
      <c r="A255" s="28">
        <v>43185</v>
      </c>
      <c r="B255" s="3" t="s">
        <v>370</v>
      </c>
      <c r="C255" s="3">
        <v>1</v>
      </c>
      <c r="D255" s="32">
        <v>35000</v>
      </c>
      <c r="E255" s="32">
        <f t="shared" si="17"/>
        <v>35000</v>
      </c>
      <c r="F255" s="30"/>
      <c r="G255" s="3"/>
      <c r="H255" s="37"/>
    </row>
    <row r="256" spans="1:8" x14ac:dyDescent="0.35">
      <c r="A256" s="28">
        <v>43185</v>
      </c>
      <c r="B256" s="3" t="s">
        <v>372</v>
      </c>
      <c r="C256" s="3">
        <v>1</v>
      </c>
      <c r="D256" s="32">
        <v>50000</v>
      </c>
      <c r="E256" s="32">
        <f t="shared" si="17"/>
        <v>50000</v>
      </c>
      <c r="F256" s="30"/>
      <c r="G256" s="3"/>
      <c r="H256" s="37"/>
    </row>
    <row r="257" spans="1:8" x14ac:dyDescent="0.35">
      <c r="A257" s="28">
        <v>43185</v>
      </c>
      <c r="B257" s="3" t="s">
        <v>183</v>
      </c>
      <c r="C257" s="3">
        <v>1</v>
      </c>
      <c r="D257" s="32">
        <v>28000</v>
      </c>
      <c r="E257" s="32">
        <f t="shared" si="17"/>
        <v>28000</v>
      </c>
      <c r="F257" s="30"/>
      <c r="G257" s="3"/>
      <c r="H257" s="37"/>
    </row>
    <row r="258" spans="1:8" x14ac:dyDescent="0.35">
      <c r="A258" s="28">
        <v>43185</v>
      </c>
      <c r="B258" s="3" t="s">
        <v>373</v>
      </c>
      <c r="C258" s="3">
        <v>105</v>
      </c>
      <c r="D258" s="32">
        <v>1500</v>
      </c>
      <c r="E258" s="32">
        <f t="shared" si="17"/>
        <v>157500</v>
      </c>
      <c r="F258" s="30"/>
      <c r="G258" s="3"/>
      <c r="H258" s="37"/>
    </row>
    <row r="259" spans="1:8" x14ac:dyDescent="0.35">
      <c r="A259" s="28">
        <v>43185</v>
      </c>
      <c r="B259" s="3" t="s">
        <v>276</v>
      </c>
      <c r="C259" s="3">
        <v>10</v>
      </c>
      <c r="D259" s="32">
        <v>57000</v>
      </c>
      <c r="E259" s="32">
        <f t="shared" si="17"/>
        <v>570000</v>
      </c>
      <c r="F259" s="30"/>
      <c r="G259" s="3"/>
      <c r="H259" s="37"/>
    </row>
    <row r="260" spans="1:8" x14ac:dyDescent="0.35">
      <c r="A260" s="28">
        <v>43185</v>
      </c>
      <c r="B260" s="3" t="s">
        <v>112</v>
      </c>
      <c r="C260" s="3">
        <v>28</v>
      </c>
      <c r="D260" s="32">
        <v>43000</v>
      </c>
      <c r="E260" s="32">
        <f t="shared" ref="E260:E323" si="21">D260*C260</f>
        <v>1204000</v>
      </c>
      <c r="F260" s="30"/>
      <c r="G260" s="3"/>
      <c r="H260" s="37"/>
    </row>
    <row r="261" spans="1:8" x14ac:dyDescent="0.35">
      <c r="A261" s="28">
        <v>43185</v>
      </c>
      <c r="B261" s="3" t="s">
        <v>363</v>
      </c>
      <c r="C261" s="3">
        <v>5</v>
      </c>
      <c r="D261" s="32">
        <v>59000</v>
      </c>
      <c r="E261" s="32">
        <f t="shared" si="21"/>
        <v>295000</v>
      </c>
      <c r="F261" s="30"/>
      <c r="G261" s="3"/>
      <c r="H261" s="37"/>
    </row>
    <row r="262" spans="1:8" x14ac:dyDescent="0.35">
      <c r="A262" s="28">
        <v>43185</v>
      </c>
      <c r="B262" s="3" t="s">
        <v>307</v>
      </c>
      <c r="C262" s="3">
        <v>22</v>
      </c>
      <c r="D262" s="32">
        <v>8500</v>
      </c>
      <c r="E262" s="32">
        <f t="shared" si="21"/>
        <v>187000</v>
      </c>
      <c r="F262" s="30"/>
      <c r="G262" s="3"/>
      <c r="H262" s="37"/>
    </row>
    <row r="263" spans="1:8" x14ac:dyDescent="0.35">
      <c r="A263" s="28">
        <v>43185</v>
      </c>
      <c r="B263" s="3" t="s">
        <v>4</v>
      </c>
      <c r="C263" s="3">
        <v>14</v>
      </c>
      <c r="D263" s="32">
        <v>38000</v>
      </c>
      <c r="E263" s="32">
        <f t="shared" si="21"/>
        <v>532000</v>
      </c>
      <c r="F263" s="30"/>
      <c r="G263" s="3"/>
      <c r="H263" s="37"/>
    </row>
    <row r="264" spans="1:8" x14ac:dyDescent="0.35">
      <c r="A264" s="28">
        <v>43185</v>
      </c>
      <c r="B264" s="3" t="s">
        <v>374</v>
      </c>
      <c r="C264" s="3">
        <v>3</v>
      </c>
      <c r="D264" s="32">
        <v>48000</v>
      </c>
      <c r="E264" s="32">
        <f t="shared" si="21"/>
        <v>144000</v>
      </c>
      <c r="F264" s="30"/>
      <c r="G264" s="3"/>
      <c r="H264" s="37"/>
    </row>
    <row r="265" spans="1:8" x14ac:dyDescent="0.35">
      <c r="A265" s="28">
        <v>43185</v>
      </c>
      <c r="B265" s="3" t="s">
        <v>375</v>
      </c>
      <c r="C265" s="3">
        <v>18</v>
      </c>
      <c r="D265" s="32">
        <v>3500</v>
      </c>
      <c r="E265" s="32">
        <f t="shared" si="21"/>
        <v>63000</v>
      </c>
      <c r="F265" s="30"/>
      <c r="G265" s="3"/>
      <c r="H265" s="37"/>
    </row>
    <row r="266" spans="1:8" x14ac:dyDescent="0.35">
      <c r="A266" s="28">
        <v>43185</v>
      </c>
      <c r="B266" s="3" t="s">
        <v>376</v>
      </c>
      <c r="C266" s="3">
        <v>2</v>
      </c>
      <c r="D266" s="32">
        <v>55000</v>
      </c>
      <c r="E266" s="32">
        <f t="shared" si="21"/>
        <v>110000</v>
      </c>
      <c r="F266" s="30"/>
      <c r="G266" s="3"/>
      <c r="H266" s="37"/>
    </row>
    <row r="267" spans="1:8" x14ac:dyDescent="0.35">
      <c r="A267" s="28">
        <v>43185</v>
      </c>
      <c r="B267" s="3" t="s">
        <v>66</v>
      </c>
      <c r="C267" s="3">
        <v>1</v>
      </c>
      <c r="D267" s="32">
        <v>15000</v>
      </c>
      <c r="E267" s="32">
        <f t="shared" si="21"/>
        <v>15000</v>
      </c>
      <c r="F267" s="30"/>
      <c r="G267" s="3"/>
      <c r="H267" s="37"/>
    </row>
    <row r="268" spans="1:8" x14ac:dyDescent="0.35">
      <c r="A268" s="28">
        <v>43186</v>
      </c>
      <c r="B268" s="3"/>
      <c r="C268" s="3"/>
      <c r="D268" s="32"/>
      <c r="E268" s="32">
        <f t="shared" si="21"/>
        <v>0</v>
      </c>
      <c r="F268" s="30"/>
      <c r="G268" s="3"/>
      <c r="H268" s="37"/>
    </row>
    <row r="269" spans="1:8" x14ac:dyDescent="0.35">
      <c r="A269" s="28">
        <v>43186</v>
      </c>
      <c r="B269" s="3" t="s">
        <v>181</v>
      </c>
      <c r="C269" s="3">
        <v>1</v>
      </c>
      <c r="D269" s="32">
        <v>46000</v>
      </c>
      <c r="E269" s="32">
        <f t="shared" si="21"/>
        <v>46000</v>
      </c>
      <c r="F269" s="30"/>
      <c r="G269" s="3"/>
      <c r="H269" s="37"/>
    </row>
    <row r="270" spans="1:8" x14ac:dyDescent="0.35">
      <c r="A270" s="28">
        <v>43186</v>
      </c>
      <c r="B270" s="3" t="s">
        <v>7</v>
      </c>
      <c r="C270" s="3">
        <v>2</v>
      </c>
      <c r="D270" s="32">
        <v>47000</v>
      </c>
      <c r="E270" s="32">
        <f t="shared" si="21"/>
        <v>94000</v>
      </c>
      <c r="F270" s="30"/>
      <c r="G270" s="3"/>
      <c r="H270" s="37"/>
    </row>
    <row r="271" spans="1:8" x14ac:dyDescent="0.35">
      <c r="A271" s="28">
        <v>43186</v>
      </c>
      <c r="B271" s="3" t="s">
        <v>125</v>
      </c>
      <c r="C271" s="3">
        <v>10</v>
      </c>
      <c r="D271" s="32">
        <v>38000</v>
      </c>
      <c r="E271" s="32">
        <f t="shared" si="21"/>
        <v>380000</v>
      </c>
      <c r="F271" s="30"/>
      <c r="G271" s="3"/>
      <c r="H271" s="37"/>
    </row>
    <row r="272" spans="1:8" x14ac:dyDescent="0.35">
      <c r="A272" s="28">
        <v>43186</v>
      </c>
      <c r="B272" s="3" t="s">
        <v>118</v>
      </c>
      <c r="C272" s="3">
        <v>3</v>
      </c>
      <c r="D272" s="32">
        <v>44000</v>
      </c>
      <c r="E272" s="32">
        <f t="shared" si="21"/>
        <v>132000</v>
      </c>
      <c r="F272" s="30"/>
      <c r="G272" s="3"/>
      <c r="H272" s="37"/>
    </row>
    <row r="273" spans="1:8" x14ac:dyDescent="0.35">
      <c r="A273" s="28">
        <v>43186</v>
      </c>
      <c r="B273" s="3" t="s">
        <v>300</v>
      </c>
      <c r="C273" s="3">
        <v>3</v>
      </c>
      <c r="D273" s="32">
        <v>50000</v>
      </c>
      <c r="E273" s="32">
        <f t="shared" si="21"/>
        <v>150000</v>
      </c>
      <c r="F273" s="30"/>
      <c r="G273" s="3"/>
      <c r="H273" s="37"/>
    </row>
    <row r="274" spans="1:8" x14ac:dyDescent="0.35">
      <c r="A274" s="28">
        <v>43186</v>
      </c>
      <c r="B274" s="3" t="s">
        <v>377</v>
      </c>
      <c r="C274" s="3">
        <v>3</v>
      </c>
      <c r="D274" s="32">
        <v>45500</v>
      </c>
      <c r="E274" s="32">
        <f t="shared" si="21"/>
        <v>136500</v>
      </c>
      <c r="F274" s="30"/>
      <c r="G274" s="3"/>
      <c r="H274" s="37"/>
    </row>
    <row r="275" spans="1:8" x14ac:dyDescent="0.35">
      <c r="A275" s="28">
        <v>43186</v>
      </c>
      <c r="B275" s="3" t="s">
        <v>181</v>
      </c>
      <c r="C275" s="3">
        <v>2</v>
      </c>
      <c r="D275" s="32">
        <v>46500</v>
      </c>
      <c r="E275" s="32">
        <f t="shared" si="21"/>
        <v>93000</v>
      </c>
      <c r="F275" s="30"/>
      <c r="G275" s="3"/>
      <c r="H275" s="37"/>
    </row>
    <row r="276" spans="1:8" x14ac:dyDescent="0.35">
      <c r="A276" s="28">
        <v>43186</v>
      </c>
      <c r="B276" s="3" t="s">
        <v>66</v>
      </c>
      <c r="C276" s="3">
        <v>1</v>
      </c>
      <c r="D276" s="32">
        <v>15000</v>
      </c>
      <c r="E276" s="32">
        <f t="shared" si="21"/>
        <v>15000</v>
      </c>
      <c r="F276" s="30"/>
      <c r="G276" s="3"/>
      <c r="H276" s="37"/>
    </row>
    <row r="277" spans="1:8" x14ac:dyDescent="0.35">
      <c r="A277" s="28">
        <v>43187</v>
      </c>
      <c r="B277" s="3"/>
      <c r="C277" s="3"/>
      <c r="D277" s="32"/>
      <c r="E277" s="32">
        <f t="shared" si="21"/>
        <v>0</v>
      </c>
      <c r="F277" s="30"/>
      <c r="G277" s="3"/>
      <c r="H277" s="37"/>
    </row>
    <row r="278" spans="1:8" x14ac:dyDescent="0.35">
      <c r="A278" s="28">
        <v>43187</v>
      </c>
      <c r="B278" s="3" t="s">
        <v>363</v>
      </c>
      <c r="C278" s="3">
        <v>1</v>
      </c>
      <c r="D278" s="32">
        <v>59000</v>
      </c>
      <c r="E278" s="32">
        <f t="shared" si="21"/>
        <v>59000</v>
      </c>
      <c r="F278" s="30"/>
      <c r="G278" s="3"/>
      <c r="H278" s="37"/>
    </row>
    <row r="279" spans="1:8" x14ac:dyDescent="0.35">
      <c r="A279" s="28">
        <v>43187</v>
      </c>
      <c r="B279" s="3" t="s">
        <v>378</v>
      </c>
      <c r="C279" s="3">
        <v>20</v>
      </c>
      <c r="D279" s="32">
        <v>8000</v>
      </c>
      <c r="E279" s="32">
        <f t="shared" si="21"/>
        <v>160000</v>
      </c>
      <c r="F279" s="30"/>
      <c r="G279" s="3"/>
      <c r="H279" s="37"/>
    </row>
    <row r="280" spans="1:8" x14ac:dyDescent="0.35">
      <c r="A280" s="28">
        <v>43187</v>
      </c>
      <c r="B280" s="3" t="s">
        <v>64</v>
      </c>
      <c r="C280" s="3">
        <v>6</v>
      </c>
      <c r="D280" s="32">
        <v>58000</v>
      </c>
      <c r="E280" s="32">
        <f t="shared" si="21"/>
        <v>348000</v>
      </c>
      <c r="F280" s="30"/>
      <c r="G280" s="3"/>
      <c r="H280" s="37"/>
    </row>
    <row r="281" spans="1:8" x14ac:dyDescent="0.35">
      <c r="A281" s="28">
        <v>43187</v>
      </c>
      <c r="B281" s="3" t="s">
        <v>368</v>
      </c>
      <c r="C281" s="3">
        <v>2</v>
      </c>
      <c r="D281" s="32">
        <v>47000</v>
      </c>
      <c r="E281" s="32">
        <f t="shared" si="21"/>
        <v>94000</v>
      </c>
      <c r="F281" s="30"/>
      <c r="G281" s="3"/>
      <c r="H281" s="37"/>
    </row>
    <row r="282" spans="1:8" x14ac:dyDescent="0.35">
      <c r="A282" s="28">
        <v>43187</v>
      </c>
      <c r="B282" s="3" t="s">
        <v>35</v>
      </c>
      <c r="C282" s="3">
        <v>2</v>
      </c>
      <c r="D282" s="32">
        <v>37000</v>
      </c>
      <c r="E282" s="32">
        <f t="shared" si="21"/>
        <v>74000</v>
      </c>
      <c r="F282" s="30"/>
      <c r="G282" s="3"/>
      <c r="H282" s="37"/>
    </row>
    <row r="283" spans="1:8" x14ac:dyDescent="0.35">
      <c r="A283" s="28">
        <v>43187</v>
      </c>
      <c r="B283" s="3" t="s">
        <v>379</v>
      </c>
      <c r="C283" s="3">
        <v>1</v>
      </c>
      <c r="D283" s="32">
        <v>10000</v>
      </c>
      <c r="E283" s="32">
        <f t="shared" si="21"/>
        <v>10000</v>
      </c>
      <c r="F283" s="30"/>
      <c r="G283" s="3"/>
      <c r="H283" s="37"/>
    </row>
    <row r="284" spans="1:8" x14ac:dyDescent="0.35">
      <c r="A284" s="28">
        <v>43187</v>
      </c>
      <c r="B284" s="3" t="s">
        <v>26</v>
      </c>
      <c r="C284" s="3">
        <v>8</v>
      </c>
      <c r="D284" s="32">
        <v>50000</v>
      </c>
      <c r="E284" s="32">
        <f t="shared" si="21"/>
        <v>400000</v>
      </c>
      <c r="F284" s="30"/>
      <c r="G284" s="3"/>
      <c r="H284" s="37"/>
    </row>
    <row r="285" spans="1:8" x14ac:dyDescent="0.35">
      <c r="A285" s="28">
        <v>43187</v>
      </c>
      <c r="B285" s="3" t="s">
        <v>25</v>
      </c>
      <c r="C285" s="3">
        <v>1</v>
      </c>
      <c r="D285" s="32">
        <v>52000</v>
      </c>
      <c r="E285" s="32">
        <f t="shared" si="21"/>
        <v>52000</v>
      </c>
      <c r="F285" s="30"/>
      <c r="G285" s="3"/>
      <c r="H285" s="37"/>
    </row>
    <row r="286" spans="1:8" x14ac:dyDescent="0.35">
      <c r="A286" s="28">
        <v>43187</v>
      </c>
      <c r="B286" s="3" t="s">
        <v>168</v>
      </c>
      <c r="C286" s="3">
        <v>16</v>
      </c>
      <c r="D286" s="32">
        <v>1600</v>
      </c>
      <c r="E286" s="32">
        <f t="shared" si="21"/>
        <v>25600</v>
      </c>
      <c r="F286" s="30"/>
      <c r="G286" s="3"/>
      <c r="H286" s="37"/>
    </row>
    <row r="287" spans="1:8" x14ac:dyDescent="0.35">
      <c r="A287" s="28">
        <v>43187</v>
      </c>
      <c r="B287" s="3" t="s">
        <v>92</v>
      </c>
      <c r="C287" s="3">
        <v>4</v>
      </c>
      <c r="D287" s="32">
        <v>1500</v>
      </c>
      <c r="E287" s="32">
        <f t="shared" si="21"/>
        <v>6000</v>
      </c>
      <c r="F287" s="30"/>
      <c r="G287" s="3"/>
      <c r="H287" s="37"/>
    </row>
    <row r="288" spans="1:8" x14ac:dyDescent="0.35">
      <c r="A288" s="28">
        <v>43188</v>
      </c>
      <c r="B288" s="3"/>
      <c r="C288" s="3"/>
      <c r="D288" s="32"/>
      <c r="E288" s="32">
        <f t="shared" si="21"/>
        <v>0</v>
      </c>
      <c r="F288" s="30"/>
      <c r="G288" s="3"/>
      <c r="H288" s="37"/>
    </row>
    <row r="289" spans="1:8" x14ac:dyDescent="0.35">
      <c r="A289" s="28">
        <v>43188</v>
      </c>
      <c r="B289" s="3" t="s">
        <v>11</v>
      </c>
      <c r="C289" s="3">
        <v>10</v>
      </c>
      <c r="D289" s="32">
        <v>1500</v>
      </c>
      <c r="E289" s="32">
        <f t="shared" si="21"/>
        <v>15000</v>
      </c>
      <c r="F289" s="30"/>
      <c r="G289" s="3"/>
      <c r="H289" s="37"/>
    </row>
    <row r="290" spans="1:8" x14ac:dyDescent="0.35">
      <c r="A290" s="28">
        <v>43188</v>
      </c>
      <c r="B290" s="3" t="s">
        <v>187</v>
      </c>
      <c r="C290" s="3">
        <v>6</v>
      </c>
      <c r="D290" s="32">
        <v>43500</v>
      </c>
      <c r="E290" s="32">
        <f t="shared" si="21"/>
        <v>261000</v>
      </c>
      <c r="F290" s="30"/>
      <c r="G290" s="3"/>
      <c r="H290" s="37"/>
    </row>
    <row r="291" spans="1:8" x14ac:dyDescent="0.35">
      <c r="A291" s="28">
        <v>43188</v>
      </c>
      <c r="B291" s="3" t="s">
        <v>380</v>
      </c>
      <c r="C291" s="3">
        <v>12</v>
      </c>
      <c r="D291" s="32">
        <v>139167</v>
      </c>
      <c r="E291" s="32">
        <f t="shared" si="21"/>
        <v>1670004</v>
      </c>
      <c r="F291" s="30"/>
      <c r="G291" s="3"/>
      <c r="H291" s="37"/>
    </row>
    <row r="292" spans="1:8" x14ac:dyDescent="0.35">
      <c r="A292" s="28">
        <v>43188</v>
      </c>
      <c r="B292" s="3" t="s">
        <v>118</v>
      </c>
      <c r="C292" s="3">
        <v>5</v>
      </c>
      <c r="D292" s="32">
        <v>45000</v>
      </c>
      <c r="E292" s="32">
        <f t="shared" si="21"/>
        <v>225000</v>
      </c>
      <c r="F292" s="30"/>
      <c r="G292" s="3"/>
      <c r="H292" s="37"/>
    </row>
    <row r="293" spans="1:8" x14ac:dyDescent="0.35">
      <c r="A293" s="28">
        <v>43188</v>
      </c>
      <c r="B293" s="3" t="s">
        <v>344</v>
      </c>
      <c r="C293" s="3">
        <v>1</v>
      </c>
      <c r="D293" s="32">
        <v>25000</v>
      </c>
      <c r="E293" s="32">
        <f t="shared" si="21"/>
        <v>25000</v>
      </c>
      <c r="F293" s="30"/>
      <c r="G293" s="3"/>
      <c r="H293" s="37"/>
    </row>
    <row r="294" spans="1:8" x14ac:dyDescent="0.35">
      <c r="A294" s="28">
        <v>43188</v>
      </c>
      <c r="B294" s="3" t="s">
        <v>187</v>
      </c>
      <c r="C294" s="3">
        <v>5</v>
      </c>
      <c r="D294" s="32">
        <v>47000</v>
      </c>
      <c r="E294" s="32">
        <f t="shared" si="21"/>
        <v>235000</v>
      </c>
      <c r="F294" s="30"/>
      <c r="G294" s="3"/>
      <c r="H294" s="37"/>
    </row>
    <row r="295" spans="1:8" x14ac:dyDescent="0.35">
      <c r="A295" s="28">
        <v>43188</v>
      </c>
      <c r="B295" s="3" t="s">
        <v>68</v>
      </c>
      <c r="C295" s="3">
        <v>1</v>
      </c>
      <c r="D295" s="32">
        <v>15000</v>
      </c>
      <c r="E295" s="32">
        <f t="shared" si="21"/>
        <v>15000</v>
      </c>
      <c r="F295" s="30"/>
      <c r="G295" s="3"/>
      <c r="H295" s="37"/>
    </row>
    <row r="296" spans="1:8" x14ac:dyDescent="0.35">
      <c r="A296" s="28">
        <v>43188</v>
      </c>
      <c r="B296" s="3" t="s">
        <v>4</v>
      </c>
      <c r="C296" s="3">
        <v>1</v>
      </c>
      <c r="D296" s="32">
        <v>38000</v>
      </c>
      <c r="E296" s="32">
        <f t="shared" si="21"/>
        <v>38000</v>
      </c>
      <c r="F296" s="30"/>
      <c r="G296" s="3"/>
      <c r="H296" s="37"/>
    </row>
    <row r="297" spans="1:8" x14ac:dyDescent="0.35">
      <c r="A297" s="28">
        <v>43188</v>
      </c>
      <c r="B297" s="3" t="s">
        <v>357</v>
      </c>
      <c r="C297" s="3">
        <v>1</v>
      </c>
      <c r="D297" s="32">
        <v>45000</v>
      </c>
      <c r="E297" s="32">
        <f t="shared" si="21"/>
        <v>45000</v>
      </c>
      <c r="F297" s="30"/>
      <c r="G297" s="3"/>
      <c r="H297" s="37"/>
    </row>
    <row r="298" spans="1:8" x14ac:dyDescent="0.35">
      <c r="A298" s="28">
        <v>43188</v>
      </c>
      <c r="B298" s="3" t="s">
        <v>129</v>
      </c>
      <c r="C298" s="3">
        <v>1</v>
      </c>
      <c r="D298" s="32">
        <v>14000</v>
      </c>
      <c r="E298" s="32">
        <f t="shared" si="21"/>
        <v>14000</v>
      </c>
      <c r="F298" s="30"/>
      <c r="G298" s="3"/>
      <c r="H298" s="37"/>
    </row>
    <row r="299" spans="1:8" x14ac:dyDescent="0.35">
      <c r="A299" s="28">
        <v>43188</v>
      </c>
      <c r="B299" s="3" t="s">
        <v>220</v>
      </c>
      <c r="C299" s="3">
        <v>2</v>
      </c>
      <c r="D299" s="32">
        <v>47000</v>
      </c>
      <c r="E299" s="32">
        <f t="shared" si="21"/>
        <v>94000</v>
      </c>
      <c r="F299" s="30"/>
      <c r="G299" s="3"/>
      <c r="H299" s="37"/>
    </row>
    <row r="300" spans="1:8" x14ac:dyDescent="0.35">
      <c r="A300" s="28">
        <v>43188</v>
      </c>
      <c r="B300" s="3" t="s">
        <v>168</v>
      </c>
      <c r="C300" s="3">
        <v>19</v>
      </c>
      <c r="D300" s="32">
        <v>1500</v>
      </c>
      <c r="E300" s="32">
        <f t="shared" si="21"/>
        <v>28500</v>
      </c>
      <c r="F300" s="30"/>
      <c r="G300" s="3"/>
      <c r="H300" s="37"/>
    </row>
    <row r="301" spans="1:8" x14ac:dyDescent="0.35">
      <c r="A301" s="28">
        <v>43188</v>
      </c>
      <c r="B301" s="3" t="s">
        <v>381</v>
      </c>
      <c r="C301" s="3">
        <v>14</v>
      </c>
      <c r="D301" s="32"/>
      <c r="E301" s="32">
        <f t="shared" si="21"/>
        <v>0</v>
      </c>
      <c r="F301" s="30"/>
      <c r="G301" s="3"/>
      <c r="H301" s="37"/>
    </row>
    <row r="302" spans="1:8" x14ac:dyDescent="0.35">
      <c r="A302" s="28">
        <v>43189</v>
      </c>
      <c r="B302" s="3"/>
      <c r="C302" s="3"/>
      <c r="D302" s="32"/>
      <c r="E302" s="32">
        <f t="shared" si="21"/>
        <v>0</v>
      </c>
      <c r="F302" s="30"/>
      <c r="G302" s="3"/>
      <c r="H302" s="37"/>
    </row>
    <row r="303" spans="1:8" x14ac:dyDescent="0.35">
      <c r="A303" s="28">
        <v>43189</v>
      </c>
      <c r="B303" s="3" t="s">
        <v>382</v>
      </c>
      <c r="C303" s="3">
        <v>2</v>
      </c>
      <c r="D303" s="32">
        <v>55000</v>
      </c>
      <c r="E303" s="32">
        <f t="shared" si="21"/>
        <v>110000</v>
      </c>
      <c r="F303" s="30"/>
      <c r="G303" s="3"/>
      <c r="H303" s="37"/>
    </row>
    <row r="304" spans="1:8" x14ac:dyDescent="0.35">
      <c r="A304" s="28">
        <v>43189</v>
      </c>
      <c r="B304" s="3" t="s">
        <v>26</v>
      </c>
      <c r="C304" s="3">
        <v>1</v>
      </c>
      <c r="D304" s="32">
        <v>50000</v>
      </c>
      <c r="E304" s="32">
        <f t="shared" si="21"/>
        <v>50000</v>
      </c>
      <c r="F304" s="30"/>
      <c r="G304" s="3"/>
      <c r="H304" s="37"/>
    </row>
    <row r="305" spans="1:8" x14ac:dyDescent="0.35">
      <c r="A305" s="28">
        <v>43189</v>
      </c>
      <c r="B305" s="3" t="s">
        <v>383</v>
      </c>
      <c r="C305" s="3">
        <v>22</v>
      </c>
      <c r="D305" s="32">
        <v>3500</v>
      </c>
      <c r="E305" s="32">
        <f t="shared" si="21"/>
        <v>77000</v>
      </c>
      <c r="F305" s="30"/>
      <c r="G305" s="3"/>
      <c r="H305" s="37"/>
    </row>
    <row r="306" spans="1:8" x14ac:dyDescent="0.35">
      <c r="A306" s="28">
        <v>43189</v>
      </c>
      <c r="B306" s="3" t="s">
        <v>3</v>
      </c>
      <c r="C306" s="3">
        <v>10</v>
      </c>
      <c r="D306" s="32">
        <v>50000</v>
      </c>
      <c r="E306" s="32">
        <f t="shared" si="21"/>
        <v>500000</v>
      </c>
      <c r="F306" s="30"/>
      <c r="G306" s="3"/>
      <c r="H306" s="37"/>
    </row>
    <row r="307" spans="1:8" x14ac:dyDescent="0.35">
      <c r="A307" s="28">
        <v>43189</v>
      </c>
      <c r="B307" s="3" t="s">
        <v>384</v>
      </c>
      <c r="C307" s="3">
        <v>5</v>
      </c>
      <c r="D307" s="32">
        <v>52000</v>
      </c>
      <c r="E307" s="32">
        <f t="shared" si="21"/>
        <v>260000</v>
      </c>
      <c r="F307" s="30"/>
      <c r="G307" s="3"/>
      <c r="H307" s="37"/>
    </row>
    <row r="308" spans="1:8" x14ac:dyDescent="0.35">
      <c r="A308" s="28">
        <v>43189</v>
      </c>
      <c r="B308" s="3" t="s">
        <v>385</v>
      </c>
      <c r="C308" s="3">
        <v>5</v>
      </c>
      <c r="D308" s="32">
        <v>56000</v>
      </c>
      <c r="E308" s="32">
        <f t="shared" si="21"/>
        <v>280000</v>
      </c>
      <c r="F308" s="30"/>
      <c r="G308" s="3"/>
      <c r="H308" s="37"/>
    </row>
    <row r="309" spans="1:8" x14ac:dyDescent="0.35">
      <c r="A309" s="28">
        <v>43189</v>
      </c>
      <c r="B309" s="3" t="s">
        <v>303</v>
      </c>
      <c r="C309" s="3">
        <v>8</v>
      </c>
      <c r="D309" s="32">
        <v>56000</v>
      </c>
      <c r="E309" s="32">
        <f t="shared" si="21"/>
        <v>448000</v>
      </c>
      <c r="F309" s="30"/>
      <c r="G309" s="3"/>
      <c r="H309" s="37"/>
    </row>
    <row r="310" spans="1:8" x14ac:dyDescent="0.35">
      <c r="A310" s="28">
        <v>43189</v>
      </c>
      <c r="B310" s="3" t="s">
        <v>386</v>
      </c>
      <c r="C310" s="3">
        <v>14</v>
      </c>
      <c r="D310" s="32">
        <v>58000</v>
      </c>
      <c r="E310" s="32">
        <f t="shared" si="21"/>
        <v>812000</v>
      </c>
      <c r="F310" s="30"/>
      <c r="G310" s="3"/>
      <c r="H310" s="37"/>
    </row>
    <row r="311" spans="1:8" x14ac:dyDescent="0.35">
      <c r="A311" s="28">
        <v>43189</v>
      </c>
      <c r="B311" s="3" t="s">
        <v>160</v>
      </c>
      <c r="C311" s="3">
        <v>22</v>
      </c>
      <c r="D311" s="32">
        <v>55000</v>
      </c>
      <c r="E311" s="32">
        <f t="shared" si="21"/>
        <v>1210000</v>
      </c>
      <c r="F311" s="30"/>
      <c r="G311" s="3"/>
      <c r="H311" s="37"/>
    </row>
    <row r="312" spans="1:8" x14ac:dyDescent="0.35">
      <c r="A312" s="28">
        <v>43189</v>
      </c>
      <c r="B312" s="3" t="s">
        <v>387</v>
      </c>
      <c r="C312" s="3">
        <v>14</v>
      </c>
      <c r="D312" s="32">
        <v>56000</v>
      </c>
      <c r="E312" s="32">
        <f t="shared" si="21"/>
        <v>784000</v>
      </c>
      <c r="F312" s="30"/>
      <c r="G312" s="3"/>
      <c r="H312" s="37"/>
    </row>
    <row r="313" spans="1:8" x14ac:dyDescent="0.35">
      <c r="A313" s="28">
        <v>43189</v>
      </c>
      <c r="B313" s="3" t="s">
        <v>388</v>
      </c>
      <c r="C313" s="3">
        <v>8</v>
      </c>
      <c r="D313" s="32">
        <v>52000</v>
      </c>
      <c r="E313" s="32">
        <f t="shared" si="21"/>
        <v>416000</v>
      </c>
      <c r="F313" s="30"/>
      <c r="G313" s="3"/>
      <c r="H313" s="37"/>
    </row>
    <row r="314" spans="1:8" x14ac:dyDescent="0.35">
      <c r="A314" s="28">
        <v>43189</v>
      </c>
      <c r="B314" s="3" t="s">
        <v>95</v>
      </c>
      <c r="C314" s="3">
        <v>6</v>
      </c>
      <c r="D314" s="32">
        <v>50000</v>
      </c>
      <c r="E314" s="32">
        <f t="shared" si="21"/>
        <v>300000</v>
      </c>
      <c r="F314" s="30"/>
      <c r="G314" s="3"/>
      <c r="H314" s="37"/>
    </row>
    <row r="315" spans="1:8" x14ac:dyDescent="0.35">
      <c r="A315" s="28">
        <v>43189</v>
      </c>
      <c r="B315" s="3" t="s">
        <v>332</v>
      </c>
      <c r="C315" s="3">
        <v>4</v>
      </c>
      <c r="D315" s="32">
        <v>57500</v>
      </c>
      <c r="E315" s="32">
        <f t="shared" si="21"/>
        <v>230000</v>
      </c>
      <c r="F315" s="30"/>
      <c r="G315" s="3"/>
      <c r="H315" s="37"/>
    </row>
    <row r="316" spans="1:8" x14ac:dyDescent="0.35">
      <c r="A316" s="28">
        <v>43189</v>
      </c>
      <c r="B316" s="3" t="s">
        <v>307</v>
      </c>
      <c r="C316" s="3">
        <v>20</v>
      </c>
      <c r="D316" s="32">
        <v>7500</v>
      </c>
      <c r="E316" s="32">
        <f t="shared" si="21"/>
        <v>150000</v>
      </c>
      <c r="F316" s="30"/>
      <c r="G316" s="3"/>
      <c r="H316" s="37"/>
    </row>
    <row r="317" spans="1:8" x14ac:dyDescent="0.35">
      <c r="A317" s="28">
        <v>43189</v>
      </c>
      <c r="B317" s="3" t="s">
        <v>188</v>
      </c>
      <c r="C317" s="3">
        <v>1</v>
      </c>
      <c r="D317" s="32">
        <v>47000</v>
      </c>
      <c r="E317" s="32">
        <f t="shared" si="21"/>
        <v>47000</v>
      </c>
      <c r="F317" s="30"/>
      <c r="G317" s="3"/>
      <c r="H317" s="37"/>
    </row>
    <row r="318" spans="1:8" x14ac:dyDescent="0.35">
      <c r="A318" s="28">
        <v>43190</v>
      </c>
      <c r="B318" s="3"/>
      <c r="C318" s="3"/>
      <c r="D318" s="32"/>
      <c r="E318" s="32">
        <f t="shared" si="21"/>
        <v>0</v>
      </c>
      <c r="F318" s="30"/>
      <c r="G318" s="3"/>
      <c r="H318" s="37"/>
    </row>
    <row r="319" spans="1:8" x14ac:dyDescent="0.35">
      <c r="A319" s="28">
        <v>43190</v>
      </c>
      <c r="B319" s="3" t="s">
        <v>140</v>
      </c>
      <c r="C319" s="3">
        <v>8</v>
      </c>
      <c r="D319" s="32">
        <v>55000</v>
      </c>
      <c r="E319" s="32">
        <f t="shared" si="21"/>
        <v>440000</v>
      </c>
      <c r="F319" s="30"/>
      <c r="G319" s="3"/>
      <c r="H319" s="37"/>
    </row>
    <row r="320" spans="1:8" x14ac:dyDescent="0.35">
      <c r="A320" s="28">
        <v>43190</v>
      </c>
      <c r="B320" s="3" t="s">
        <v>389</v>
      </c>
      <c r="C320" s="3">
        <v>1</v>
      </c>
      <c r="D320" s="32">
        <v>45000</v>
      </c>
      <c r="E320" s="32">
        <f t="shared" si="21"/>
        <v>45000</v>
      </c>
      <c r="F320" s="30"/>
      <c r="G320" s="3"/>
      <c r="H320" s="37"/>
    </row>
    <row r="321" spans="1:8" x14ac:dyDescent="0.35">
      <c r="A321" s="28">
        <v>43190</v>
      </c>
      <c r="B321" s="3" t="s">
        <v>36</v>
      </c>
      <c r="C321" s="3">
        <v>2</v>
      </c>
      <c r="D321" s="32">
        <v>46000</v>
      </c>
      <c r="E321" s="32">
        <f t="shared" si="21"/>
        <v>92000</v>
      </c>
      <c r="F321" s="30"/>
      <c r="G321" s="3"/>
      <c r="H321" s="37"/>
    </row>
    <row r="322" spans="1:8" x14ac:dyDescent="0.35">
      <c r="A322" s="28">
        <v>43190</v>
      </c>
      <c r="B322" s="3" t="s">
        <v>390</v>
      </c>
      <c r="C322" s="3">
        <v>5</v>
      </c>
      <c r="D322" s="32">
        <v>56000</v>
      </c>
      <c r="E322" s="32">
        <f t="shared" si="21"/>
        <v>280000</v>
      </c>
      <c r="F322" s="30"/>
      <c r="G322" s="3"/>
      <c r="H322" s="37"/>
    </row>
    <row r="323" spans="1:8" x14ac:dyDescent="0.35">
      <c r="A323" s="28">
        <v>43190</v>
      </c>
      <c r="B323" s="3" t="s">
        <v>321</v>
      </c>
      <c r="C323" s="3">
        <v>5</v>
      </c>
      <c r="D323" s="32">
        <v>52000</v>
      </c>
      <c r="E323" s="32">
        <f t="shared" si="21"/>
        <v>260000</v>
      </c>
      <c r="F323" s="30"/>
      <c r="G323" s="3"/>
      <c r="H323" s="37"/>
    </row>
    <row r="324" spans="1:8" x14ac:dyDescent="0.35">
      <c r="A324" s="28">
        <v>43190</v>
      </c>
      <c r="B324" s="3" t="s">
        <v>391</v>
      </c>
      <c r="C324" s="3">
        <v>2</v>
      </c>
      <c r="D324" s="32">
        <v>50000</v>
      </c>
      <c r="E324" s="32">
        <f t="shared" ref="E324:E329" si="22">D324*C324</f>
        <v>100000</v>
      </c>
      <c r="F324" s="30"/>
      <c r="G324" s="3"/>
      <c r="H324" s="37"/>
    </row>
    <row r="325" spans="1:8" x14ac:dyDescent="0.35">
      <c r="A325" s="28">
        <v>43190</v>
      </c>
      <c r="B325" s="3" t="s">
        <v>303</v>
      </c>
      <c r="C325" s="3">
        <v>12</v>
      </c>
      <c r="D325" s="32">
        <v>56000</v>
      </c>
      <c r="E325" s="32">
        <f t="shared" si="22"/>
        <v>672000</v>
      </c>
      <c r="F325" s="30"/>
      <c r="G325" s="3"/>
      <c r="H325" s="37"/>
    </row>
    <row r="326" spans="1:8" x14ac:dyDescent="0.35">
      <c r="A326" s="28">
        <v>43190</v>
      </c>
      <c r="B326" s="3" t="s">
        <v>338</v>
      </c>
      <c r="C326" s="3">
        <v>6</v>
      </c>
      <c r="D326" s="32">
        <v>57000</v>
      </c>
      <c r="E326" s="32">
        <f t="shared" si="22"/>
        <v>342000</v>
      </c>
      <c r="F326" s="30"/>
      <c r="G326" s="3"/>
      <c r="H326" s="37"/>
    </row>
    <row r="327" spans="1:8" x14ac:dyDescent="0.35">
      <c r="A327" s="28">
        <v>43190</v>
      </c>
      <c r="B327" s="3" t="s">
        <v>110</v>
      </c>
      <c r="C327" s="3">
        <v>1</v>
      </c>
      <c r="D327" s="32">
        <v>49000</v>
      </c>
      <c r="E327" s="32">
        <f t="shared" si="22"/>
        <v>49000</v>
      </c>
      <c r="F327" s="30"/>
      <c r="G327" s="3"/>
      <c r="H327" s="37"/>
    </row>
    <row r="328" spans="1:8" x14ac:dyDescent="0.35">
      <c r="A328" s="28">
        <v>43190</v>
      </c>
      <c r="B328" s="3" t="s">
        <v>392</v>
      </c>
      <c r="C328" s="3">
        <v>40</v>
      </c>
      <c r="D328" s="32">
        <v>8000</v>
      </c>
      <c r="E328" s="32">
        <f t="shared" si="22"/>
        <v>320000</v>
      </c>
      <c r="F328" s="30"/>
      <c r="G328" s="3"/>
      <c r="H328" s="37"/>
    </row>
    <row r="329" spans="1:8" x14ac:dyDescent="0.35">
      <c r="A329" s="45">
        <v>43190</v>
      </c>
      <c r="B329" s="4" t="s">
        <v>393</v>
      </c>
      <c r="C329" s="4">
        <v>44</v>
      </c>
      <c r="D329" s="33">
        <v>8000</v>
      </c>
      <c r="E329" s="33">
        <f t="shared" si="22"/>
        <v>352000</v>
      </c>
      <c r="F329" s="35"/>
      <c r="G329" s="4"/>
      <c r="H329" s="38"/>
    </row>
  </sheetData>
  <mergeCells count="1">
    <mergeCell ref="F36:G36"/>
  </mergeCells>
  <pageMargins left="0.7" right="0.7" top="0.75" bottom="0.75" header="0.3" footer="0.3"/>
  <pageSetup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0"/>
  <sheetViews>
    <sheetView workbookViewId="0">
      <selection activeCell="F42" sqref="F42"/>
    </sheetView>
  </sheetViews>
  <sheetFormatPr defaultRowHeight="15.5" x14ac:dyDescent="0.35"/>
  <cols>
    <col min="1" max="1" width="11.08203125" style="13" customWidth="1"/>
    <col min="2" max="2" width="25" style="5" customWidth="1"/>
    <col min="3" max="3" width="13.58203125" style="5" customWidth="1"/>
    <col min="4" max="4" width="13.58203125" style="17" customWidth="1"/>
    <col min="5" max="5" width="16.58203125" style="17" customWidth="1"/>
    <col min="6" max="6" width="12.9140625" style="13" customWidth="1"/>
    <col min="7" max="7" width="14" style="5" customWidth="1"/>
    <col min="8" max="8" width="15.33203125" style="17" customWidth="1"/>
  </cols>
  <sheetData>
    <row r="1" spans="1:8" x14ac:dyDescent="0.35">
      <c r="A1" s="13" t="s">
        <v>834</v>
      </c>
      <c r="B1" s="5" t="s">
        <v>835</v>
      </c>
      <c r="C1" s="5" t="s">
        <v>836</v>
      </c>
      <c r="D1" s="17" t="s">
        <v>837</v>
      </c>
      <c r="E1" s="17" t="s">
        <v>838</v>
      </c>
      <c r="F1" s="13" t="s">
        <v>839</v>
      </c>
      <c r="G1" s="5" t="s">
        <v>840</v>
      </c>
      <c r="H1" s="17" t="s">
        <v>841</v>
      </c>
    </row>
    <row r="2" spans="1:8" x14ac:dyDescent="0.35">
      <c r="A2" s="13">
        <v>43191</v>
      </c>
    </row>
    <row r="3" spans="1:8" x14ac:dyDescent="0.35">
      <c r="A3" s="13">
        <v>43191</v>
      </c>
      <c r="B3" s="5" t="s">
        <v>34</v>
      </c>
      <c r="C3" s="5">
        <v>20</v>
      </c>
      <c r="D3" s="17">
        <v>45500</v>
      </c>
      <c r="E3" s="17">
        <f>D3*C3</f>
        <v>910000</v>
      </c>
      <c r="F3" s="13">
        <v>43192</v>
      </c>
      <c r="G3" s="5" t="s">
        <v>236</v>
      </c>
      <c r="H3" s="17">
        <v>100000</v>
      </c>
    </row>
    <row r="4" spans="1:8" x14ac:dyDescent="0.35">
      <c r="A4" s="13">
        <v>43191</v>
      </c>
      <c r="B4" s="5" t="s">
        <v>394</v>
      </c>
      <c r="C4" s="5">
        <v>7</v>
      </c>
      <c r="D4" s="17">
        <v>55000</v>
      </c>
      <c r="E4" s="17">
        <f t="shared" ref="E4:E67" si="0">D4*C4</f>
        <v>385000</v>
      </c>
      <c r="F4" s="13">
        <v>43192</v>
      </c>
      <c r="G4" s="5" t="s">
        <v>17</v>
      </c>
      <c r="H4" s="17">
        <v>100000</v>
      </c>
    </row>
    <row r="5" spans="1:8" x14ac:dyDescent="0.35">
      <c r="A5" s="13">
        <v>43191</v>
      </c>
      <c r="B5" s="5" t="s">
        <v>156</v>
      </c>
      <c r="C5" s="5">
        <v>11</v>
      </c>
      <c r="D5" s="17">
        <v>48000</v>
      </c>
      <c r="E5" s="17">
        <f t="shared" si="0"/>
        <v>528000</v>
      </c>
    </row>
    <row r="6" spans="1:8" x14ac:dyDescent="0.35">
      <c r="A6" s="13">
        <v>43191</v>
      </c>
      <c r="E6" s="17">
        <f t="shared" si="0"/>
        <v>0</v>
      </c>
      <c r="F6" s="13">
        <v>43194</v>
      </c>
      <c r="G6" s="5" t="s">
        <v>270</v>
      </c>
      <c r="H6" s="17">
        <v>20000</v>
      </c>
    </row>
    <row r="7" spans="1:8" x14ac:dyDescent="0.35">
      <c r="A7" s="13">
        <v>43191</v>
      </c>
      <c r="B7" s="5" t="s">
        <v>395</v>
      </c>
      <c r="C7" s="5">
        <v>1</v>
      </c>
      <c r="D7" s="17">
        <v>56000</v>
      </c>
      <c r="E7" s="17">
        <f t="shared" si="0"/>
        <v>56000</v>
      </c>
    </row>
    <row r="8" spans="1:8" x14ac:dyDescent="0.35">
      <c r="A8" s="13">
        <v>43191</v>
      </c>
      <c r="B8" s="5" t="s">
        <v>110</v>
      </c>
      <c r="C8" s="5">
        <v>1</v>
      </c>
      <c r="E8" s="17">
        <f t="shared" si="0"/>
        <v>0</v>
      </c>
      <c r="F8" s="13">
        <v>43196</v>
      </c>
      <c r="G8" s="5" t="s">
        <v>236</v>
      </c>
      <c r="H8" s="17">
        <v>150000</v>
      </c>
    </row>
    <row r="9" spans="1:8" x14ac:dyDescent="0.35">
      <c r="A9" s="13">
        <v>43191</v>
      </c>
      <c r="B9" s="5" t="s">
        <v>396</v>
      </c>
      <c r="C9" s="5">
        <v>4</v>
      </c>
      <c r="D9" s="17">
        <v>55000</v>
      </c>
      <c r="E9" s="17">
        <f t="shared" si="0"/>
        <v>220000</v>
      </c>
    </row>
    <row r="10" spans="1:8" x14ac:dyDescent="0.35">
      <c r="A10" s="13">
        <v>43191</v>
      </c>
      <c r="B10" s="5" t="s">
        <v>112</v>
      </c>
      <c r="C10" s="5">
        <v>2</v>
      </c>
      <c r="D10" s="17">
        <v>42500</v>
      </c>
      <c r="E10" s="17">
        <f t="shared" si="0"/>
        <v>85000</v>
      </c>
      <c r="F10" s="13">
        <v>43197</v>
      </c>
      <c r="G10" s="5" t="s">
        <v>77</v>
      </c>
      <c r="H10" s="17">
        <v>330000</v>
      </c>
    </row>
    <row r="11" spans="1:8" x14ac:dyDescent="0.35">
      <c r="A11" s="13">
        <v>43191</v>
      </c>
      <c r="B11" s="5" t="s">
        <v>397</v>
      </c>
      <c r="C11" s="5">
        <v>12</v>
      </c>
      <c r="D11" s="17">
        <v>49000</v>
      </c>
      <c r="E11" s="17">
        <f t="shared" si="0"/>
        <v>588000</v>
      </c>
      <c r="F11" s="13">
        <v>43197</v>
      </c>
      <c r="G11" s="5" t="s">
        <v>236</v>
      </c>
      <c r="H11" s="17">
        <v>30000</v>
      </c>
    </row>
    <row r="12" spans="1:8" x14ac:dyDescent="0.35">
      <c r="A12" s="13">
        <v>43192</v>
      </c>
      <c r="E12" s="17">
        <f t="shared" si="0"/>
        <v>0</v>
      </c>
    </row>
    <row r="13" spans="1:8" x14ac:dyDescent="0.35">
      <c r="A13" s="13">
        <v>43192</v>
      </c>
      <c r="B13" s="5" t="s">
        <v>25</v>
      </c>
      <c r="C13" s="5">
        <v>20</v>
      </c>
      <c r="D13" s="17">
        <v>54000</v>
      </c>
      <c r="E13" s="17">
        <f t="shared" si="0"/>
        <v>1080000</v>
      </c>
      <c r="F13" s="13">
        <v>43197</v>
      </c>
      <c r="G13" s="5" t="s">
        <v>236</v>
      </c>
      <c r="H13" s="17">
        <v>100000</v>
      </c>
    </row>
    <row r="14" spans="1:8" x14ac:dyDescent="0.35">
      <c r="A14" s="13">
        <v>43192</v>
      </c>
      <c r="B14" s="5" t="s">
        <v>199</v>
      </c>
      <c r="C14" s="5">
        <v>6</v>
      </c>
      <c r="D14" s="17">
        <v>47000</v>
      </c>
      <c r="E14" s="17">
        <f t="shared" si="0"/>
        <v>282000</v>
      </c>
    </row>
    <row r="15" spans="1:8" x14ac:dyDescent="0.35">
      <c r="A15" s="13">
        <v>43192</v>
      </c>
      <c r="B15" s="5" t="s">
        <v>31</v>
      </c>
      <c r="C15" s="5">
        <v>2</v>
      </c>
      <c r="D15" s="17">
        <v>47000</v>
      </c>
      <c r="E15" s="17">
        <f t="shared" si="0"/>
        <v>94000</v>
      </c>
      <c r="F15" s="13">
        <v>43202</v>
      </c>
      <c r="G15" s="5" t="s">
        <v>17</v>
      </c>
      <c r="H15" s="17">
        <v>75000</v>
      </c>
    </row>
    <row r="16" spans="1:8" x14ac:dyDescent="0.35">
      <c r="A16" s="13">
        <v>43192</v>
      </c>
      <c r="B16" s="5" t="s">
        <v>350</v>
      </c>
      <c r="C16" s="5">
        <v>2</v>
      </c>
      <c r="D16" s="17">
        <v>56000</v>
      </c>
      <c r="E16" s="17">
        <f t="shared" si="0"/>
        <v>112000</v>
      </c>
      <c r="F16" s="13">
        <v>43202</v>
      </c>
      <c r="G16" s="5" t="s">
        <v>78</v>
      </c>
      <c r="H16" s="17">
        <v>862000</v>
      </c>
    </row>
    <row r="17" spans="1:8" x14ac:dyDescent="0.35">
      <c r="A17" s="13">
        <v>43192</v>
      </c>
      <c r="B17" s="5" t="s">
        <v>398</v>
      </c>
      <c r="C17" s="5">
        <v>7</v>
      </c>
      <c r="D17" s="17">
        <v>3500</v>
      </c>
      <c r="E17" s="17">
        <f t="shared" si="0"/>
        <v>24500</v>
      </c>
    </row>
    <row r="18" spans="1:8" x14ac:dyDescent="0.35">
      <c r="A18" s="13">
        <v>43192</v>
      </c>
      <c r="B18" s="5" t="s">
        <v>4</v>
      </c>
      <c r="C18" s="5">
        <v>7</v>
      </c>
      <c r="D18" s="17">
        <v>38000</v>
      </c>
      <c r="E18" s="17">
        <f t="shared" si="0"/>
        <v>266000</v>
      </c>
      <c r="F18" s="13">
        <v>43203</v>
      </c>
      <c r="G18" s="5" t="s">
        <v>308</v>
      </c>
      <c r="H18" s="17">
        <v>150000</v>
      </c>
    </row>
    <row r="19" spans="1:8" x14ac:dyDescent="0.35">
      <c r="A19" s="13">
        <v>43192</v>
      </c>
      <c r="B19" s="5" t="s">
        <v>25</v>
      </c>
      <c r="C19" s="5">
        <v>4</v>
      </c>
      <c r="D19" s="17">
        <v>53000</v>
      </c>
      <c r="E19" s="17">
        <f t="shared" si="0"/>
        <v>212000</v>
      </c>
      <c r="F19" s="13">
        <v>43203</v>
      </c>
      <c r="G19" s="5" t="s">
        <v>444</v>
      </c>
      <c r="H19" s="17">
        <v>26000</v>
      </c>
    </row>
    <row r="20" spans="1:8" x14ac:dyDescent="0.35">
      <c r="A20" s="13">
        <v>43192</v>
      </c>
      <c r="B20" s="5" t="s">
        <v>399</v>
      </c>
      <c r="C20" s="5">
        <v>1</v>
      </c>
      <c r="D20" s="17">
        <v>15000</v>
      </c>
      <c r="E20" s="17">
        <f t="shared" si="0"/>
        <v>15000</v>
      </c>
    </row>
    <row r="21" spans="1:8" x14ac:dyDescent="0.35">
      <c r="A21" s="13">
        <v>43192</v>
      </c>
      <c r="B21" s="5" t="s">
        <v>24</v>
      </c>
      <c r="C21" s="5">
        <v>1</v>
      </c>
      <c r="D21" s="17">
        <v>58000</v>
      </c>
      <c r="E21" s="17">
        <f t="shared" si="0"/>
        <v>58000</v>
      </c>
      <c r="F21" s="13">
        <v>43206</v>
      </c>
      <c r="G21" s="5" t="s">
        <v>444</v>
      </c>
      <c r="H21" s="17">
        <v>20000</v>
      </c>
    </row>
    <row r="22" spans="1:8" x14ac:dyDescent="0.35">
      <c r="A22" s="13">
        <v>43192</v>
      </c>
      <c r="B22" s="5" t="s">
        <v>400</v>
      </c>
      <c r="C22" s="5">
        <v>4</v>
      </c>
      <c r="D22" s="17">
        <v>3500</v>
      </c>
      <c r="E22" s="17">
        <f t="shared" si="0"/>
        <v>14000</v>
      </c>
    </row>
    <row r="23" spans="1:8" x14ac:dyDescent="0.35">
      <c r="A23" s="13">
        <v>43192</v>
      </c>
      <c r="B23" s="5" t="s">
        <v>401</v>
      </c>
      <c r="C23" s="5">
        <v>6</v>
      </c>
      <c r="D23" s="17">
        <v>3500</v>
      </c>
      <c r="E23" s="17">
        <f t="shared" si="0"/>
        <v>21000</v>
      </c>
      <c r="F23" s="13">
        <v>43207</v>
      </c>
      <c r="G23" s="5" t="s">
        <v>461</v>
      </c>
      <c r="H23" s="17">
        <v>30000</v>
      </c>
    </row>
    <row r="24" spans="1:8" x14ac:dyDescent="0.35">
      <c r="A24" s="13">
        <v>43192</v>
      </c>
      <c r="B24" s="5" t="s">
        <v>135</v>
      </c>
      <c r="C24" s="5">
        <v>1</v>
      </c>
      <c r="D24" s="17">
        <v>50000</v>
      </c>
      <c r="E24" s="17">
        <f t="shared" si="0"/>
        <v>50000</v>
      </c>
    </row>
    <row r="25" spans="1:8" x14ac:dyDescent="0.35">
      <c r="A25" s="13">
        <v>43192</v>
      </c>
      <c r="B25" s="5" t="s">
        <v>52</v>
      </c>
      <c r="C25" s="5">
        <v>2</v>
      </c>
      <c r="D25" s="17">
        <v>47000</v>
      </c>
      <c r="E25" s="17">
        <f t="shared" si="0"/>
        <v>94000</v>
      </c>
      <c r="F25" s="13">
        <v>43208</v>
      </c>
      <c r="G25" s="5" t="s">
        <v>121</v>
      </c>
      <c r="H25" s="17">
        <v>90000</v>
      </c>
    </row>
    <row r="26" spans="1:8" x14ac:dyDescent="0.35">
      <c r="A26" s="13">
        <v>43192</v>
      </c>
      <c r="B26" s="5" t="s">
        <v>403</v>
      </c>
      <c r="C26" s="5">
        <v>14</v>
      </c>
      <c r="D26" s="17">
        <v>2000</v>
      </c>
      <c r="E26" s="17">
        <f t="shared" si="0"/>
        <v>28000</v>
      </c>
      <c r="F26" s="13">
        <v>43208</v>
      </c>
      <c r="G26" s="5" t="s">
        <v>472</v>
      </c>
      <c r="H26" s="17">
        <v>346000</v>
      </c>
    </row>
    <row r="27" spans="1:8" x14ac:dyDescent="0.35">
      <c r="A27" s="13">
        <v>43192</v>
      </c>
      <c r="B27" s="5" t="s">
        <v>321</v>
      </c>
      <c r="C27" s="5">
        <v>52</v>
      </c>
      <c r="D27" s="17">
        <v>52000</v>
      </c>
      <c r="E27" s="17">
        <f t="shared" si="0"/>
        <v>2704000</v>
      </c>
    </row>
    <row r="28" spans="1:8" x14ac:dyDescent="0.35">
      <c r="A28" s="13">
        <v>43192</v>
      </c>
      <c r="B28" s="5" t="s">
        <v>397</v>
      </c>
      <c r="C28" s="5">
        <v>2</v>
      </c>
      <c r="D28" s="17">
        <v>48000</v>
      </c>
      <c r="E28" s="17">
        <f t="shared" si="0"/>
        <v>96000</v>
      </c>
      <c r="F28" s="13">
        <v>43209</v>
      </c>
      <c r="G28" s="5" t="s">
        <v>236</v>
      </c>
      <c r="H28" s="17">
        <v>150000</v>
      </c>
    </row>
    <row r="29" spans="1:8" x14ac:dyDescent="0.35">
      <c r="A29" s="13">
        <v>43192</v>
      </c>
      <c r="B29" s="5" t="s">
        <v>34</v>
      </c>
      <c r="C29" s="5">
        <v>2</v>
      </c>
      <c r="D29" s="17">
        <v>43000</v>
      </c>
      <c r="E29" s="17">
        <f t="shared" si="0"/>
        <v>86000</v>
      </c>
      <c r="F29" s="13">
        <v>43209</v>
      </c>
      <c r="G29" s="5" t="s">
        <v>196</v>
      </c>
      <c r="H29" s="17">
        <v>67000</v>
      </c>
    </row>
    <row r="30" spans="1:8" x14ac:dyDescent="0.35">
      <c r="A30" s="13">
        <v>43192</v>
      </c>
      <c r="B30" s="5" t="s">
        <v>402</v>
      </c>
      <c r="C30" s="5">
        <v>1</v>
      </c>
      <c r="D30" s="17">
        <v>48000</v>
      </c>
      <c r="E30" s="17">
        <f t="shared" si="0"/>
        <v>48000</v>
      </c>
    </row>
    <row r="31" spans="1:8" x14ac:dyDescent="0.35">
      <c r="A31" s="13">
        <v>43192</v>
      </c>
      <c r="B31" s="5" t="s">
        <v>404</v>
      </c>
      <c r="C31" s="5">
        <v>40</v>
      </c>
      <c r="D31" s="17">
        <v>46250</v>
      </c>
      <c r="E31" s="17">
        <f t="shared" si="0"/>
        <v>1850000</v>
      </c>
      <c r="F31" s="13">
        <v>43211</v>
      </c>
      <c r="G31" s="5" t="s">
        <v>77</v>
      </c>
      <c r="H31" s="17">
        <v>390000</v>
      </c>
    </row>
    <row r="32" spans="1:8" x14ac:dyDescent="0.35">
      <c r="A32" s="13">
        <v>43192</v>
      </c>
      <c r="B32" s="5" t="s">
        <v>402</v>
      </c>
      <c r="C32" s="5">
        <v>20</v>
      </c>
      <c r="D32" s="17">
        <v>48000</v>
      </c>
      <c r="E32" s="17">
        <f t="shared" si="0"/>
        <v>960000</v>
      </c>
    </row>
    <row r="33" spans="1:8" x14ac:dyDescent="0.35">
      <c r="A33" s="13">
        <v>43194</v>
      </c>
      <c r="E33" s="17">
        <f t="shared" si="0"/>
        <v>0</v>
      </c>
      <c r="F33" s="13">
        <v>43214</v>
      </c>
      <c r="G33" s="5" t="s">
        <v>17</v>
      </c>
      <c r="H33" s="17">
        <v>50000</v>
      </c>
    </row>
    <row r="34" spans="1:8" x14ac:dyDescent="0.35">
      <c r="A34" s="13">
        <v>43194</v>
      </c>
      <c r="B34" s="5" t="s">
        <v>405</v>
      </c>
      <c r="C34" s="5">
        <v>10</v>
      </c>
      <c r="D34" s="17">
        <v>8500</v>
      </c>
      <c r="E34" s="17">
        <f t="shared" si="0"/>
        <v>85000</v>
      </c>
    </row>
    <row r="35" spans="1:8" x14ac:dyDescent="0.35">
      <c r="A35" s="13">
        <v>43194</v>
      </c>
      <c r="B35" s="5" t="s">
        <v>92</v>
      </c>
      <c r="C35" s="5">
        <v>30</v>
      </c>
      <c r="D35" s="17">
        <v>1500</v>
      </c>
      <c r="E35" s="17">
        <f t="shared" si="0"/>
        <v>45000</v>
      </c>
      <c r="F35" s="13">
        <v>43215</v>
      </c>
      <c r="G35" s="5" t="s">
        <v>486</v>
      </c>
      <c r="H35" s="17">
        <v>6000</v>
      </c>
    </row>
    <row r="36" spans="1:8" x14ac:dyDescent="0.35">
      <c r="A36" s="13">
        <v>43194</v>
      </c>
      <c r="B36" s="5" t="s">
        <v>406</v>
      </c>
      <c r="C36" s="5">
        <v>10</v>
      </c>
      <c r="D36" s="17">
        <v>48000</v>
      </c>
      <c r="E36" s="17">
        <f t="shared" si="0"/>
        <v>480000</v>
      </c>
    </row>
    <row r="37" spans="1:8" x14ac:dyDescent="0.35">
      <c r="A37" s="13">
        <v>43194</v>
      </c>
      <c r="B37" s="5" t="s">
        <v>30</v>
      </c>
      <c r="C37" s="5">
        <v>8</v>
      </c>
      <c r="D37" s="17">
        <v>46500</v>
      </c>
      <c r="E37" s="17">
        <f t="shared" si="0"/>
        <v>372000</v>
      </c>
      <c r="F37" s="13">
        <v>43217</v>
      </c>
      <c r="G37" s="5" t="s">
        <v>236</v>
      </c>
      <c r="H37" s="17">
        <v>150000</v>
      </c>
    </row>
    <row r="38" spans="1:8" x14ac:dyDescent="0.35">
      <c r="A38" s="13">
        <v>43194</v>
      </c>
      <c r="B38" s="5" t="s">
        <v>407</v>
      </c>
      <c r="C38" s="5">
        <v>29</v>
      </c>
      <c r="D38" s="17">
        <v>3500</v>
      </c>
      <c r="E38" s="17">
        <f t="shared" si="0"/>
        <v>101500</v>
      </c>
    </row>
    <row r="39" spans="1:8" x14ac:dyDescent="0.35">
      <c r="A39" s="13">
        <v>43194</v>
      </c>
      <c r="B39" s="5" t="s">
        <v>408</v>
      </c>
      <c r="C39" s="5">
        <v>4</v>
      </c>
      <c r="D39" s="17">
        <v>47000</v>
      </c>
      <c r="E39" s="17">
        <f t="shared" si="0"/>
        <v>188000</v>
      </c>
      <c r="F39" s="13">
        <v>43218</v>
      </c>
      <c r="G39" s="5" t="s">
        <v>77</v>
      </c>
      <c r="H39" s="17">
        <v>330000</v>
      </c>
    </row>
    <row r="40" spans="1:8" x14ac:dyDescent="0.35">
      <c r="A40" s="13">
        <v>43194</v>
      </c>
      <c r="B40" s="5" t="s">
        <v>112</v>
      </c>
      <c r="C40" s="5">
        <v>11</v>
      </c>
      <c r="D40" s="17">
        <v>43500</v>
      </c>
      <c r="E40" s="17">
        <f t="shared" si="0"/>
        <v>478500</v>
      </c>
    </row>
    <row r="41" spans="1:8" x14ac:dyDescent="0.35">
      <c r="A41" s="13">
        <v>43194</v>
      </c>
      <c r="B41" s="5" t="s">
        <v>409</v>
      </c>
      <c r="C41" s="5">
        <v>13</v>
      </c>
      <c r="D41" s="17">
        <v>58500</v>
      </c>
      <c r="E41" s="17">
        <f t="shared" si="0"/>
        <v>760500</v>
      </c>
    </row>
    <row r="42" spans="1:8" x14ac:dyDescent="0.35">
      <c r="A42" s="13">
        <v>43194</v>
      </c>
      <c r="B42" s="5" t="s">
        <v>410</v>
      </c>
      <c r="C42" s="5">
        <v>2</v>
      </c>
      <c r="D42" s="17">
        <v>55000</v>
      </c>
      <c r="E42" s="17">
        <f t="shared" si="0"/>
        <v>110000</v>
      </c>
      <c r="H42" s="17">
        <f>SUM(H2:H41)</f>
        <v>3572000</v>
      </c>
    </row>
    <row r="43" spans="1:8" x14ac:dyDescent="0.35">
      <c r="A43" s="13">
        <v>43194</v>
      </c>
      <c r="B43" s="5" t="s">
        <v>411</v>
      </c>
      <c r="C43" s="5">
        <v>25</v>
      </c>
      <c r="D43" s="17">
        <v>1500</v>
      </c>
      <c r="E43" s="17">
        <f t="shared" si="0"/>
        <v>37500</v>
      </c>
    </row>
    <row r="44" spans="1:8" x14ac:dyDescent="0.35">
      <c r="A44" s="13">
        <v>43194</v>
      </c>
      <c r="B44" s="5" t="s">
        <v>412</v>
      </c>
      <c r="C44" s="5">
        <v>3</v>
      </c>
      <c r="D44" s="17">
        <v>1500</v>
      </c>
      <c r="E44" s="17">
        <f t="shared" si="0"/>
        <v>4500</v>
      </c>
    </row>
    <row r="45" spans="1:8" x14ac:dyDescent="0.35">
      <c r="A45" s="13">
        <v>43194</v>
      </c>
      <c r="B45" s="5" t="s">
        <v>24</v>
      </c>
      <c r="C45" s="5">
        <v>3</v>
      </c>
      <c r="D45" s="17">
        <v>58000</v>
      </c>
      <c r="E45" s="17">
        <f t="shared" si="0"/>
        <v>174000</v>
      </c>
    </row>
    <row r="46" spans="1:8" x14ac:dyDescent="0.35">
      <c r="A46" s="13">
        <v>43194</v>
      </c>
      <c r="B46" s="5" t="s">
        <v>18</v>
      </c>
      <c r="C46" s="5">
        <v>1</v>
      </c>
      <c r="D46" s="17">
        <v>52000</v>
      </c>
      <c r="E46" s="17">
        <f t="shared" si="0"/>
        <v>52000</v>
      </c>
    </row>
    <row r="47" spans="1:8" x14ac:dyDescent="0.35">
      <c r="A47" s="13">
        <v>43195</v>
      </c>
      <c r="E47" s="17">
        <f t="shared" si="0"/>
        <v>0</v>
      </c>
    </row>
    <row r="48" spans="1:8" x14ac:dyDescent="0.35">
      <c r="A48" s="13">
        <v>43195</v>
      </c>
      <c r="B48" s="5" t="s">
        <v>405</v>
      </c>
      <c r="C48" s="5">
        <v>7</v>
      </c>
      <c r="D48" s="17">
        <v>8500</v>
      </c>
      <c r="E48" s="17">
        <f t="shared" si="0"/>
        <v>59500</v>
      </c>
    </row>
    <row r="49" spans="1:5" x14ac:dyDescent="0.35">
      <c r="A49" s="13">
        <v>43195</v>
      </c>
      <c r="B49" s="5" t="s">
        <v>413</v>
      </c>
      <c r="C49" s="5">
        <v>3</v>
      </c>
      <c r="D49" s="17">
        <v>1500</v>
      </c>
      <c r="E49" s="17">
        <f t="shared" si="0"/>
        <v>4500</v>
      </c>
    </row>
    <row r="50" spans="1:5" x14ac:dyDescent="0.35">
      <c r="A50" s="13">
        <v>43195</v>
      </c>
      <c r="B50" s="5" t="s">
        <v>183</v>
      </c>
      <c r="C50" s="5">
        <v>30</v>
      </c>
      <c r="D50" s="17">
        <v>27000</v>
      </c>
      <c r="E50" s="17">
        <f t="shared" si="0"/>
        <v>810000</v>
      </c>
    </row>
    <row r="51" spans="1:5" x14ac:dyDescent="0.35">
      <c r="A51" s="13">
        <v>43195</v>
      </c>
      <c r="B51" s="5" t="s">
        <v>115</v>
      </c>
      <c r="C51" s="5">
        <v>6</v>
      </c>
      <c r="D51" s="17">
        <v>55000</v>
      </c>
      <c r="E51" s="17">
        <f t="shared" si="0"/>
        <v>330000</v>
      </c>
    </row>
    <row r="52" spans="1:5" x14ac:dyDescent="0.35">
      <c r="A52" s="13">
        <v>43195</v>
      </c>
      <c r="B52" s="5" t="s">
        <v>112</v>
      </c>
      <c r="C52" s="5">
        <v>6</v>
      </c>
      <c r="D52" s="17">
        <v>43000</v>
      </c>
      <c r="E52" s="17">
        <f t="shared" si="0"/>
        <v>258000</v>
      </c>
    </row>
    <row r="53" spans="1:5" x14ac:dyDescent="0.35">
      <c r="A53" s="13">
        <v>43195</v>
      </c>
      <c r="B53" s="5" t="s">
        <v>4</v>
      </c>
      <c r="C53" s="5">
        <v>6</v>
      </c>
      <c r="D53" s="17">
        <v>38000</v>
      </c>
      <c r="E53" s="17">
        <f t="shared" si="0"/>
        <v>228000</v>
      </c>
    </row>
    <row r="54" spans="1:5" x14ac:dyDescent="0.35">
      <c r="A54" s="13">
        <v>43195</v>
      </c>
      <c r="B54" s="5" t="s">
        <v>414</v>
      </c>
      <c r="C54" s="5">
        <v>18</v>
      </c>
      <c r="D54" s="17">
        <v>62000</v>
      </c>
      <c r="E54" s="17">
        <f t="shared" si="0"/>
        <v>1116000</v>
      </c>
    </row>
    <row r="55" spans="1:5" x14ac:dyDescent="0.35">
      <c r="A55" s="13">
        <v>43195</v>
      </c>
      <c r="B55" s="5" t="s">
        <v>415</v>
      </c>
      <c r="C55" s="5">
        <v>14</v>
      </c>
      <c r="D55" s="17">
        <v>55000</v>
      </c>
      <c r="E55" s="17">
        <f t="shared" si="0"/>
        <v>770000</v>
      </c>
    </row>
    <row r="56" spans="1:5" x14ac:dyDescent="0.35">
      <c r="A56" s="13">
        <v>43195</v>
      </c>
      <c r="B56" s="5" t="s">
        <v>416</v>
      </c>
      <c r="C56" s="5">
        <v>6</v>
      </c>
      <c r="D56" s="17">
        <v>62000</v>
      </c>
      <c r="E56" s="17">
        <f t="shared" si="0"/>
        <v>372000</v>
      </c>
    </row>
    <row r="57" spans="1:5" x14ac:dyDescent="0.35">
      <c r="A57" s="13">
        <v>43195</v>
      </c>
      <c r="B57" s="5" t="s">
        <v>24</v>
      </c>
      <c r="C57" s="5">
        <v>3</v>
      </c>
      <c r="D57" s="17">
        <v>58000</v>
      </c>
      <c r="E57" s="17">
        <f t="shared" si="0"/>
        <v>174000</v>
      </c>
    </row>
    <row r="58" spans="1:5" x14ac:dyDescent="0.35">
      <c r="A58" s="13">
        <v>43195</v>
      </c>
      <c r="B58" s="5" t="s">
        <v>4</v>
      </c>
      <c r="C58" s="5">
        <v>10</v>
      </c>
      <c r="D58" s="17">
        <v>38000</v>
      </c>
      <c r="E58" s="17">
        <f t="shared" si="0"/>
        <v>380000</v>
      </c>
    </row>
    <row r="59" spans="1:5" x14ac:dyDescent="0.35">
      <c r="A59" s="13">
        <v>43195</v>
      </c>
      <c r="B59" s="5" t="s">
        <v>417</v>
      </c>
      <c r="C59" s="5">
        <v>1</v>
      </c>
      <c r="D59" s="17">
        <v>160000</v>
      </c>
      <c r="E59" s="17">
        <f t="shared" si="0"/>
        <v>160000</v>
      </c>
    </row>
    <row r="60" spans="1:5" x14ac:dyDescent="0.35">
      <c r="A60" s="13">
        <v>43196</v>
      </c>
      <c r="E60" s="17">
        <f t="shared" si="0"/>
        <v>0</v>
      </c>
    </row>
    <row r="61" spans="1:5" x14ac:dyDescent="0.35">
      <c r="A61" s="13">
        <v>43196</v>
      </c>
      <c r="B61" s="5" t="s">
        <v>418</v>
      </c>
      <c r="C61" s="5">
        <v>1</v>
      </c>
      <c r="D61" s="17">
        <v>14000</v>
      </c>
      <c r="E61" s="17">
        <f t="shared" si="0"/>
        <v>14000</v>
      </c>
    </row>
    <row r="62" spans="1:5" x14ac:dyDescent="0.35">
      <c r="A62" s="13">
        <v>43196</v>
      </c>
      <c r="B62" s="5" t="s">
        <v>12</v>
      </c>
      <c r="C62" s="5">
        <v>4</v>
      </c>
      <c r="D62" s="17">
        <v>52000</v>
      </c>
      <c r="E62" s="17">
        <f t="shared" si="0"/>
        <v>208000</v>
      </c>
    </row>
    <row r="63" spans="1:5" x14ac:dyDescent="0.35">
      <c r="A63" s="13">
        <v>43196</v>
      </c>
      <c r="B63" s="5" t="s">
        <v>125</v>
      </c>
      <c r="C63" s="5">
        <v>4</v>
      </c>
      <c r="D63" s="17">
        <v>39000</v>
      </c>
      <c r="E63" s="17">
        <f t="shared" si="0"/>
        <v>156000</v>
      </c>
    </row>
    <row r="64" spans="1:5" x14ac:dyDescent="0.35">
      <c r="A64" s="13">
        <v>43196</v>
      </c>
      <c r="B64" s="5" t="s">
        <v>272</v>
      </c>
      <c r="C64" s="5">
        <v>13</v>
      </c>
      <c r="D64" s="17">
        <v>3500</v>
      </c>
      <c r="E64" s="17">
        <f t="shared" si="0"/>
        <v>45500</v>
      </c>
    </row>
    <row r="65" spans="1:5" x14ac:dyDescent="0.35">
      <c r="A65" s="13">
        <v>43196</v>
      </c>
      <c r="B65" s="5" t="s">
        <v>419</v>
      </c>
      <c r="C65" s="5">
        <v>8</v>
      </c>
      <c r="D65" s="17">
        <v>56000</v>
      </c>
      <c r="E65" s="17">
        <f t="shared" si="0"/>
        <v>448000</v>
      </c>
    </row>
    <row r="66" spans="1:5" x14ac:dyDescent="0.35">
      <c r="A66" s="13">
        <v>43196</v>
      </c>
      <c r="B66" s="5" t="s">
        <v>32</v>
      </c>
      <c r="C66" s="5">
        <v>7</v>
      </c>
      <c r="D66" s="17">
        <v>43500</v>
      </c>
      <c r="E66" s="17">
        <f t="shared" si="0"/>
        <v>304500</v>
      </c>
    </row>
    <row r="67" spans="1:5" x14ac:dyDescent="0.35">
      <c r="A67" s="13">
        <v>43196</v>
      </c>
      <c r="B67" s="5" t="s">
        <v>420</v>
      </c>
      <c r="C67" s="5">
        <v>21</v>
      </c>
      <c r="D67" s="17">
        <v>8500</v>
      </c>
      <c r="E67" s="17">
        <f t="shared" si="0"/>
        <v>178500</v>
      </c>
    </row>
    <row r="68" spans="1:5" x14ac:dyDescent="0.35">
      <c r="A68" s="13">
        <v>43196</v>
      </c>
      <c r="B68" s="5" t="s">
        <v>421</v>
      </c>
      <c r="C68" s="5">
        <v>1</v>
      </c>
      <c r="D68" s="17">
        <v>14000</v>
      </c>
      <c r="E68" s="17">
        <f t="shared" ref="E68:E131" si="1">D68*C68</f>
        <v>14000</v>
      </c>
    </row>
    <row r="69" spans="1:5" x14ac:dyDescent="0.35">
      <c r="A69" s="13">
        <v>43196</v>
      </c>
      <c r="B69" s="5" t="s">
        <v>4</v>
      </c>
      <c r="C69" s="5">
        <v>10</v>
      </c>
      <c r="D69" s="17">
        <v>38000</v>
      </c>
      <c r="E69" s="17">
        <f t="shared" si="1"/>
        <v>380000</v>
      </c>
    </row>
    <row r="70" spans="1:5" x14ac:dyDescent="0.35">
      <c r="A70" s="13">
        <v>43196</v>
      </c>
      <c r="B70" s="5" t="s">
        <v>422</v>
      </c>
      <c r="C70" s="5">
        <v>20</v>
      </c>
      <c r="D70" s="17">
        <v>45000</v>
      </c>
      <c r="E70" s="17">
        <f t="shared" si="1"/>
        <v>900000</v>
      </c>
    </row>
    <row r="71" spans="1:5" x14ac:dyDescent="0.35">
      <c r="A71" s="13">
        <v>43196</v>
      </c>
      <c r="B71" s="5" t="s">
        <v>24</v>
      </c>
      <c r="C71" s="5">
        <v>3</v>
      </c>
      <c r="D71" s="17">
        <v>58000</v>
      </c>
      <c r="E71" s="17">
        <f t="shared" si="1"/>
        <v>174000</v>
      </c>
    </row>
    <row r="72" spans="1:5" x14ac:dyDescent="0.35">
      <c r="A72" s="13">
        <v>43196</v>
      </c>
      <c r="B72" s="5" t="s">
        <v>423</v>
      </c>
      <c r="C72" s="5">
        <v>1</v>
      </c>
      <c r="D72" s="17">
        <v>52000</v>
      </c>
      <c r="E72" s="17">
        <f t="shared" si="1"/>
        <v>52000</v>
      </c>
    </row>
    <row r="73" spans="1:5" x14ac:dyDescent="0.35">
      <c r="A73" s="13">
        <v>43196</v>
      </c>
      <c r="B73" s="5" t="s">
        <v>423</v>
      </c>
      <c r="C73" s="5">
        <v>1</v>
      </c>
      <c r="D73" s="17">
        <v>52000</v>
      </c>
      <c r="E73" s="17">
        <f t="shared" si="1"/>
        <v>52000</v>
      </c>
    </row>
    <row r="74" spans="1:5" x14ac:dyDescent="0.35">
      <c r="A74" s="13">
        <v>43196</v>
      </c>
      <c r="B74" s="5" t="s">
        <v>201</v>
      </c>
      <c r="C74" s="5">
        <v>5</v>
      </c>
      <c r="D74" s="17">
        <v>47000</v>
      </c>
      <c r="E74" s="17">
        <f t="shared" si="1"/>
        <v>235000</v>
      </c>
    </row>
    <row r="75" spans="1:5" x14ac:dyDescent="0.35">
      <c r="A75" s="13">
        <v>43196</v>
      </c>
      <c r="B75" s="5" t="s">
        <v>352</v>
      </c>
      <c r="C75" s="5">
        <v>3</v>
      </c>
      <c r="D75" s="17">
        <v>48000</v>
      </c>
      <c r="E75" s="17">
        <f t="shared" si="1"/>
        <v>144000</v>
      </c>
    </row>
    <row r="76" spans="1:5" x14ac:dyDescent="0.35">
      <c r="A76" s="13">
        <v>43196</v>
      </c>
      <c r="B76" s="5" t="s">
        <v>109</v>
      </c>
      <c r="C76" s="5">
        <v>2</v>
      </c>
      <c r="D76" s="17">
        <v>37000</v>
      </c>
      <c r="E76" s="17">
        <f t="shared" si="1"/>
        <v>74000</v>
      </c>
    </row>
    <row r="77" spans="1:5" x14ac:dyDescent="0.35">
      <c r="A77" s="13">
        <v>43196</v>
      </c>
      <c r="B77" s="5" t="s">
        <v>92</v>
      </c>
      <c r="C77" s="5">
        <v>20</v>
      </c>
      <c r="D77" s="17">
        <v>1500</v>
      </c>
      <c r="E77" s="17">
        <f t="shared" si="1"/>
        <v>30000</v>
      </c>
    </row>
    <row r="78" spans="1:5" x14ac:dyDescent="0.35">
      <c r="A78" s="13">
        <v>43196</v>
      </c>
      <c r="B78" s="5" t="s">
        <v>26</v>
      </c>
      <c r="C78" s="5">
        <v>5</v>
      </c>
      <c r="D78" s="17">
        <v>51000</v>
      </c>
      <c r="E78" s="17">
        <f t="shared" si="1"/>
        <v>255000</v>
      </c>
    </row>
    <row r="79" spans="1:5" x14ac:dyDescent="0.35">
      <c r="A79" s="13">
        <v>43196</v>
      </c>
      <c r="B79" s="5" t="s">
        <v>388</v>
      </c>
      <c r="C79" s="5">
        <v>6</v>
      </c>
      <c r="D79" s="17">
        <v>52000</v>
      </c>
      <c r="E79" s="17">
        <f t="shared" si="1"/>
        <v>312000</v>
      </c>
    </row>
    <row r="80" spans="1:5" x14ac:dyDescent="0.35">
      <c r="A80" s="13">
        <v>43196</v>
      </c>
      <c r="B80" s="5" t="s">
        <v>366</v>
      </c>
      <c r="C80" s="5">
        <v>1</v>
      </c>
      <c r="D80" s="17">
        <v>17000</v>
      </c>
      <c r="E80" s="17">
        <f t="shared" si="1"/>
        <v>17000</v>
      </c>
    </row>
    <row r="81" spans="1:5" x14ac:dyDescent="0.35">
      <c r="A81" s="13">
        <v>43197</v>
      </c>
      <c r="E81" s="17">
        <f t="shared" si="1"/>
        <v>0</v>
      </c>
    </row>
    <row r="82" spans="1:5" x14ac:dyDescent="0.35">
      <c r="A82" s="13">
        <v>43197</v>
      </c>
      <c r="B82" s="5" t="s">
        <v>214</v>
      </c>
      <c r="C82" s="5">
        <v>1</v>
      </c>
      <c r="D82" s="17">
        <v>46000</v>
      </c>
      <c r="E82" s="17">
        <f t="shared" si="1"/>
        <v>46000</v>
      </c>
    </row>
    <row r="83" spans="1:5" x14ac:dyDescent="0.35">
      <c r="A83" s="13">
        <v>43197</v>
      </c>
      <c r="B83" s="5" t="s">
        <v>115</v>
      </c>
      <c r="C83" s="5">
        <v>6</v>
      </c>
      <c r="D83" s="17">
        <v>56000</v>
      </c>
      <c r="E83" s="17">
        <f t="shared" si="1"/>
        <v>336000</v>
      </c>
    </row>
    <row r="84" spans="1:5" x14ac:dyDescent="0.35">
      <c r="A84" s="13">
        <v>43197</v>
      </c>
      <c r="B84" s="5" t="s">
        <v>424</v>
      </c>
      <c r="C84" s="5">
        <v>3</v>
      </c>
      <c r="D84" s="17">
        <v>46000</v>
      </c>
      <c r="E84" s="17">
        <f t="shared" si="1"/>
        <v>138000</v>
      </c>
    </row>
    <row r="85" spans="1:5" x14ac:dyDescent="0.35">
      <c r="A85" s="13">
        <v>43197</v>
      </c>
      <c r="B85" s="5" t="s">
        <v>425</v>
      </c>
      <c r="C85" s="5">
        <v>1</v>
      </c>
      <c r="D85" s="17">
        <v>13000</v>
      </c>
      <c r="E85" s="17">
        <f t="shared" si="1"/>
        <v>13000</v>
      </c>
    </row>
    <row r="86" spans="1:5" x14ac:dyDescent="0.35">
      <c r="A86" s="13">
        <v>43197</v>
      </c>
      <c r="B86" s="5" t="s">
        <v>426</v>
      </c>
      <c r="C86" s="5">
        <v>1</v>
      </c>
      <c r="D86" s="17">
        <v>10000</v>
      </c>
      <c r="E86" s="17">
        <f t="shared" si="1"/>
        <v>10000</v>
      </c>
    </row>
    <row r="87" spans="1:5" x14ac:dyDescent="0.35">
      <c r="A87" s="13">
        <v>43197</v>
      </c>
      <c r="B87" s="5" t="s">
        <v>427</v>
      </c>
      <c r="C87" s="5">
        <v>1</v>
      </c>
      <c r="D87" s="17">
        <v>17000</v>
      </c>
      <c r="E87" s="17">
        <f t="shared" si="1"/>
        <v>17000</v>
      </c>
    </row>
    <row r="88" spans="1:5" x14ac:dyDescent="0.35">
      <c r="A88" s="13">
        <v>43197</v>
      </c>
      <c r="B88" s="5" t="s">
        <v>274</v>
      </c>
      <c r="C88" s="5">
        <v>3</v>
      </c>
      <c r="D88" s="17">
        <v>46000</v>
      </c>
      <c r="E88" s="17">
        <f t="shared" si="1"/>
        <v>138000</v>
      </c>
    </row>
    <row r="89" spans="1:5" x14ac:dyDescent="0.35">
      <c r="A89" s="13">
        <v>43197</v>
      </c>
      <c r="B89" s="5" t="s">
        <v>12</v>
      </c>
      <c r="C89" s="5">
        <v>6</v>
      </c>
      <c r="D89" s="17">
        <v>53000</v>
      </c>
      <c r="E89" s="17">
        <f t="shared" si="1"/>
        <v>318000</v>
      </c>
    </row>
    <row r="90" spans="1:5" x14ac:dyDescent="0.35">
      <c r="A90" s="13">
        <v>43197</v>
      </c>
      <c r="B90" s="5" t="s">
        <v>51</v>
      </c>
      <c r="C90" s="5">
        <v>15</v>
      </c>
      <c r="D90" s="17">
        <v>3500</v>
      </c>
      <c r="E90" s="17">
        <f t="shared" si="1"/>
        <v>52500</v>
      </c>
    </row>
    <row r="91" spans="1:5" x14ac:dyDescent="0.35">
      <c r="A91" s="13">
        <v>43197</v>
      </c>
      <c r="B91" s="5" t="s">
        <v>392</v>
      </c>
      <c r="C91" s="5">
        <v>2</v>
      </c>
      <c r="D91" s="17">
        <v>8500</v>
      </c>
      <c r="E91" s="17">
        <f t="shared" si="1"/>
        <v>17000</v>
      </c>
    </row>
    <row r="92" spans="1:5" x14ac:dyDescent="0.35">
      <c r="A92" s="13">
        <v>43197</v>
      </c>
      <c r="B92" s="5" t="s">
        <v>85</v>
      </c>
      <c r="C92" s="5">
        <v>3</v>
      </c>
      <c r="D92" s="17">
        <v>45000</v>
      </c>
      <c r="E92" s="17">
        <f t="shared" si="1"/>
        <v>135000</v>
      </c>
    </row>
    <row r="93" spans="1:5" x14ac:dyDescent="0.35">
      <c r="A93" s="13">
        <v>43197</v>
      </c>
      <c r="B93" s="5" t="s">
        <v>168</v>
      </c>
      <c r="C93" s="5">
        <v>5</v>
      </c>
      <c r="D93" s="17">
        <v>1600</v>
      </c>
      <c r="E93" s="17">
        <f t="shared" si="1"/>
        <v>8000</v>
      </c>
    </row>
    <row r="94" spans="1:5" x14ac:dyDescent="0.35">
      <c r="A94" s="13">
        <v>43197</v>
      </c>
      <c r="B94" s="5" t="s">
        <v>302</v>
      </c>
      <c r="C94" s="5">
        <v>22</v>
      </c>
      <c r="D94" s="17">
        <v>8500</v>
      </c>
      <c r="E94" s="17">
        <f t="shared" si="1"/>
        <v>187000</v>
      </c>
    </row>
    <row r="95" spans="1:5" x14ac:dyDescent="0.35">
      <c r="A95" s="13">
        <v>43198</v>
      </c>
      <c r="E95" s="17">
        <f t="shared" si="1"/>
        <v>0</v>
      </c>
    </row>
    <row r="96" spans="1:5" x14ac:dyDescent="0.35">
      <c r="A96" s="13">
        <v>43198</v>
      </c>
      <c r="B96" s="5" t="s">
        <v>24</v>
      </c>
      <c r="C96" s="5">
        <v>3</v>
      </c>
      <c r="D96" s="17">
        <v>58000</v>
      </c>
      <c r="E96" s="17">
        <f t="shared" si="1"/>
        <v>174000</v>
      </c>
    </row>
    <row r="97" spans="1:5" x14ac:dyDescent="0.35">
      <c r="A97" s="13">
        <v>43198</v>
      </c>
      <c r="B97" s="5" t="s">
        <v>303</v>
      </c>
      <c r="C97" s="5">
        <v>4</v>
      </c>
      <c r="D97" s="17">
        <v>56000</v>
      </c>
      <c r="E97" s="17">
        <f t="shared" si="1"/>
        <v>224000</v>
      </c>
    </row>
    <row r="98" spans="1:5" x14ac:dyDescent="0.35">
      <c r="A98" s="13">
        <v>43198</v>
      </c>
      <c r="B98" s="5" t="s">
        <v>350</v>
      </c>
      <c r="C98" s="5">
        <v>12</v>
      </c>
      <c r="D98" s="17">
        <v>57000</v>
      </c>
      <c r="E98" s="17">
        <f t="shared" si="1"/>
        <v>684000</v>
      </c>
    </row>
    <row r="99" spans="1:5" x14ac:dyDescent="0.35">
      <c r="A99" s="13">
        <v>43198</v>
      </c>
      <c r="B99" s="5" t="s">
        <v>428</v>
      </c>
      <c r="C99" s="5">
        <v>2</v>
      </c>
      <c r="D99" s="17">
        <v>54000</v>
      </c>
      <c r="E99" s="17">
        <f t="shared" si="1"/>
        <v>108000</v>
      </c>
    </row>
    <row r="100" spans="1:5" x14ac:dyDescent="0.35">
      <c r="A100" s="13">
        <v>43198</v>
      </c>
      <c r="B100" s="5" t="s">
        <v>429</v>
      </c>
      <c r="C100" s="5">
        <v>1</v>
      </c>
      <c r="D100" s="17">
        <v>98000</v>
      </c>
      <c r="E100" s="17">
        <f t="shared" si="1"/>
        <v>98000</v>
      </c>
    </row>
    <row r="101" spans="1:5" x14ac:dyDescent="0.35">
      <c r="A101" s="13">
        <v>43198</v>
      </c>
      <c r="B101" s="5" t="s">
        <v>191</v>
      </c>
      <c r="C101" s="5">
        <v>34</v>
      </c>
      <c r="D101" s="17">
        <v>48000</v>
      </c>
      <c r="E101" s="17">
        <f t="shared" si="1"/>
        <v>1632000</v>
      </c>
    </row>
    <row r="102" spans="1:5" x14ac:dyDescent="0.35">
      <c r="A102" s="13">
        <v>43198</v>
      </c>
      <c r="B102" s="5" t="s">
        <v>201</v>
      </c>
      <c r="C102" s="5">
        <v>1</v>
      </c>
      <c r="D102" s="17">
        <v>47000</v>
      </c>
      <c r="E102" s="17">
        <f t="shared" si="1"/>
        <v>47000</v>
      </c>
    </row>
    <row r="103" spans="1:5" x14ac:dyDescent="0.35">
      <c r="A103" s="13">
        <v>43198</v>
      </c>
      <c r="B103" s="5" t="s">
        <v>107</v>
      </c>
      <c r="C103" s="5">
        <v>25</v>
      </c>
      <c r="D103" s="17">
        <v>1000</v>
      </c>
      <c r="E103" s="17">
        <f t="shared" si="1"/>
        <v>25000</v>
      </c>
    </row>
    <row r="104" spans="1:5" x14ac:dyDescent="0.35">
      <c r="A104" s="13">
        <v>43198</v>
      </c>
      <c r="B104" s="5" t="s">
        <v>430</v>
      </c>
      <c r="C104" s="5">
        <v>14</v>
      </c>
      <c r="D104" s="17">
        <v>5500</v>
      </c>
      <c r="E104" s="17">
        <f t="shared" si="1"/>
        <v>77000</v>
      </c>
    </row>
    <row r="105" spans="1:5" x14ac:dyDescent="0.35">
      <c r="A105" s="13">
        <v>43198</v>
      </c>
      <c r="B105" s="5" t="s">
        <v>34</v>
      </c>
      <c r="C105" s="5">
        <v>10</v>
      </c>
      <c r="D105" s="17">
        <v>47000</v>
      </c>
      <c r="E105" s="17">
        <f t="shared" si="1"/>
        <v>470000</v>
      </c>
    </row>
    <row r="106" spans="1:5" x14ac:dyDescent="0.35">
      <c r="A106" s="13">
        <v>43198</v>
      </c>
      <c r="B106" s="5" t="s">
        <v>318</v>
      </c>
      <c r="C106" s="5">
        <v>3</v>
      </c>
      <c r="D106" s="17">
        <v>45000</v>
      </c>
      <c r="E106" s="17">
        <f t="shared" si="1"/>
        <v>135000</v>
      </c>
    </row>
    <row r="107" spans="1:5" x14ac:dyDescent="0.35">
      <c r="A107" s="13">
        <v>43200</v>
      </c>
      <c r="E107" s="17">
        <f t="shared" si="1"/>
        <v>0</v>
      </c>
    </row>
    <row r="108" spans="1:5" x14ac:dyDescent="0.35">
      <c r="A108" s="13">
        <v>43200</v>
      </c>
      <c r="B108" s="5" t="s">
        <v>29</v>
      </c>
      <c r="C108" s="5">
        <v>45</v>
      </c>
      <c r="D108" s="17">
        <v>53500</v>
      </c>
      <c r="E108" s="17">
        <f t="shared" si="1"/>
        <v>2407500</v>
      </c>
    </row>
    <row r="109" spans="1:5" x14ac:dyDescent="0.35">
      <c r="A109" s="13">
        <v>43200</v>
      </c>
      <c r="B109" s="5" t="s">
        <v>353</v>
      </c>
      <c r="C109" s="5">
        <v>18</v>
      </c>
      <c r="D109" s="17">
        <v>52000</v>
      </c>
      <c r="E109" s="17">
        <f t="shared" si="1"/>
        <v>936000</v>
      </c>
    </row>
    <row r="110" spans="1:5" x14ac:dyDescent="0.35">
      <c r="A110" s="13">
        <v>43200</v>
      </c>
      <c r="B110" s="5" t="s">
        <v>431</v>
      </c>
      <c r="C110" s="5">
        <v>2</v>
      </c>
      <c r="D110" s="17">
        <v>52000</v>
      </c>
      <c r="E110" s="17">
        <f t="shared" si="1"/>
        <v>104000</v>
      </c>
    </row>
    <row r="111" spans="1:5" x14ac:dyDescent="0.35">
      <c r="A111" s="13">
        <v>43200</v>
      </c>
      <c r="B111" s="5" t="s">
        <v>432</v>
      </c>
      <c r="C111" s="5">
        <v>4</v>
      </c>
      <c r="D111" s="17">
        <v>15000</v>
      </c>
      <c r="E111" s="17">
        <f t="shared" si="1"/>
        <v>60000</v>
      </c>
    </row>
    <row r="112" spans="1:5" x14ac:dyDescent="0.35">
      <c r="A112" s="13">
        <v>43200</v>
      </c>
      <c r="B112" s="5" t="s">
        <v>367</v>
      </c>
      <c r="C112" s="5">
        <v>3</v>
      </c>
      <c r="D112" s="17">
        <v>52000</v>
      </c>
      <c r="E112" s="17">
        <f t="shared" si="1"/>
        <v>156000</v>
      </c>
    </row>
    <row r="113" spans="1:5" x14ac:dyDescent="0.35">
      <c r="A113" s="13">
        <v>43200</v>
      </c>
      <c r="B113" s="5" t="s">
        <v>403</v>
      </c>
      <c r="C113" s="5">
        <v>7</v>
      </c>
      <c r="D113" s="17">
        <v>2000</v>
      </c>
      <c r="E113" s="17">
        <f t="shared" si="1"/>
        <v>14000</v>
      </c>
    </row>
    <row r="114" spans="1:5" x14ac:dyDescent="0.35">
      <c r="A114" s="13">
        <v>43200</v>
      </c>
      <c r="B114" s="5" t="s">
        <v>187</v>
      </c>
      <c r="C114" s="5">
        <v>2</v>
      </c>
      <c r="D114" s="17">
        <v>47000</v>
      </c>
      <c r="E114" s="17">
        <f t="shared" si="1"/>
        <v>94000</v>
      </c>
    </row>
    <row r="115" spans="1:5" x14ac:dyDescent="0.35">
      <c r="A115" s="13">
        <v>43200</v>
      </c>
      <c r="B115" s="5" t="s">
        <v>34</v>
      </c>
      <c r="C115" s="5">
        <v>5</v>
      </c>
      <c r="D115" s="17">
        <v>48000</v>
      </c>
      <c r="E115" s="17">
        <f t="shared" si="1"/>
        <v>240000</v>
      </c>
    </row>
    <row r="116" spans="1:5" x14ac:dyDescent="0.35">
      <c r="A116" s="13">
        <v>43200</v>
      </c>
      <c r="B116" s="5" t="s">
        <v>433</v>
      </c>
      <c r="C116" s="5">
        <v>12</v>
      </c>
      <c r="D116" s="17">
        <v>56000</v>
      </c>
      <c r="E116" s="17">
        <f t="shared" si="1"/>
        <v>672000</v>
      </c>
    </row>
    <row r="117" spans="1:5" x14ac:dyDescent="0.35">
      <c r="A117" s="13">
        <v>43200</v>
      </c>
      <c r="B117" s="5" t="s">
        <v>410</v>
      </c>
      <c r="C117" s="5">
        <v>2</v>
      </c>
      <c r="D117" s="17">
        <v>54000</v>
      </c>
      <c r="E117" s="17">
        <f t="shared" si="1"/>
        <v>108000</v>
      </c>
    </row>
    <row r="118" spans="1:5" x14ac:dyDescent="0.35">
      <c r="A118" s="13">
        <v>43200</v>
      </c>
      <c r="B118" s="5" t="s">
        <v>298</v>
      </c>
      <c r="C118" s="5">
        <v>5</v>
      </c>
      <c r="D118" s="17">
        <v>57500</v>
      </c>
      <c r="E118" s="17">
        <f t="shared" si="1"/>
        <v>287500</v>
      </c>
    </row>
    <row r="119" spans="1:5" x14ac:dyDescent="0.35">
      <c r="A119" s="13">
        <v>43200</v>
      </c>
      <c r="B119" s="5" t="s">
        <v>34</v>
      </c>
      <c r="C119" s="5">
        <v>5</v>
      </c>
      <c r="D119" s="17">
        <v>48000</v>
      </c>
      <c r="E119" s="17">
        <f t="shared" si="1"/>
        <v>240000</v>
      </c>
    </row>
    <row r="120" spans="1:5" x14ac:dyDescent="0.35">
      <c r="A120" s="13">
        <v>43200</v>
      </c>
      <c r="B120" s="5" t="s">
        <v>3</v>
      </c>
      <c r="C120" s="5">
        <v>2</v>
      </c>
      <c r="D120" s="17">
        <v>55000</v>
      </c>
      <c r="E120" s="17">
        <f t="shared" si="1"/>
        <v>110000</v>
      </c>
    </row>
    <row r="121" spans="1:5" x14ac:dyDescent="0.35">
      <c r="A121" s="13">
        <v>43200</v>
      </c>
      <c r="B121" s="5" t="s">
        <v>183</v>
      </c>
      <c r="C121" s="5">
        <v>1</v>
      </c>
      <c r="D121" s="17">
        <v>28000</v>
      </c>
      <c r="E121" s="17">
        <f t="shared" si="1"/>
        <v>28000</v>
      </c>
    </row>
    <row r="122" spans="1:5" x14ac:dyDescent="0.35">
      <c r="A122" s="13">
        <v>43200</v>
      </c>
      <c r="B122" s="5" t="s">
        <v>38</v>
      </c>
      <c r="C122" s="5">
        <v>5</v>
      </c>
      <c r="D122" s="17">
        <v>49000</v>
      </c>
      <c r="E122" s="17">
        <f t="shared" si="1"/>
        <v>245000</v>
      </c>
    </row>
    <row r="123" spans="1:5" x14ac:dyDescent="0.35">
      <c r="A123" s="13">
        <v>43200</v>
      </c>
      <c r="B123" s="5" t="s">
        <v>201</v>
      </c>
      <c r="C123" s="5">
        <v>1</v>
      </c>
      <c r="D123" s="17">
        <v>47000</v>
      </c>
      <c r="E123" s="17">
        <f t="shared" si="1"/>
        <v>47000</v>
      </c>
    </row>
    <row r="124" spans="1:5" x14ac:dyDescent="0.35">
      <c r="A124" s="13">
        <v>43200</v>
      </c>
      <c r="B124" s="5" t="s">
        <v>181</v>
      </c>
      <c r="C124" s="5">
        <v>1</v>
      </c>
      <c r="D124" s="17">
        <v>47000</v>
      </c>
      <c r="E124" s="17">
        <f t="shared" si="1"/>
        <v>47000</v>
      </c>
    </row>
    <row r="125" spans="1:5" x14ac:dyDescent="0.35">
      <c r="A125" s="13">
        <v>43200</v>
      </c>
      <c r="B125" s="5" t="s">
        <v>115</v>
      </c>
      <c r="C125" s="5">
        <v>2</v>
      </c>
      <c r="D125" s="17">
        <v>56000</v>
      </c>
      <c r="E125" s="17">
        <f t="shared" si="1"/>
        <v>112000</v>
      </c>
    </row>
    <row r="126" spans="1:5" x14ac:dyDescent="0.35">
      <c r="A126" s="13">
        <v>43201</v>
      </c>
      <c r="E126" s="17">
        <f t="shared" si="1"/>
        <v>0</v>
      </c>
    </row>
    <row r="127" spans="1:5" x14ac:dyDescent="0.35">
      <c r="A127" s="13">
        <v>43201</v>
      </c>
      <c r="B127" s="5" t="s">
        <v>73</v>
      </c>
      <c r="C127" s="5">
        <v>1</v>
      </c>
      <c r="D127" s="17">
        <v>43000</v>
      </c>
      <c r="E127" s="17">
        <f t="shared" si="1"/>
        <v>43000</v>
      </c>
    </row>
    <row r="128" spans="1:5" x14ac:dyDescent="0.35">
      <c r="A128" s="13">
        <v>43201</v>
      </c>
      <c r="B128" s="5" t="s">
        <v>34</v>
      </c>
      <c r="C128" s="5">
        <v>3</v>
      </c>
      <c r="D128" s="17">
        <v>48000</v>
      </c>
      <c r="E128" s="17">
        <f t="shared" si="1"/>
        <v>144000</v>
      </c>
    </row>
    <row r="129" spans="1:5" x14ac:dyDescent="0.35">
      <c r="A129" s="13">
        <v>43201</v>
      </c>
      <c r="B129" s="5" t="s">
        <v>434</v>
      </c>
      <c r="C129" s="5">
        <v>1</v>
      </c>
      <c r="D129" s="17">
        <v>48000</v>
      </c>
      <c r="E129" s="17">
        <f t="shared" si="1"/>
        <v>48000</v>
      </c>
    </row>
    <row r="130" spans="1:5" x14ac:dyDescent="0.35">
      <c r="A130" s="13">
        <v>43201</v>
      </c>
      <c r="B130" s="5" t="s">
        <v>419</v>
      </c>
      <c r="C130" s="5">
        <v>2</v>
      </c>
      <c r="D130" s="17">
        <v>56000</v>
      </c>
      <c r="E130" s="17">
        <f t="shared" si="1"/>
        <v>112000</v>
      </c>
    </row>
    <row r="131" spans="1:5" x14ac:dyDescent="0.35">
      <c r="A131" s="13">
        <v>43201</v>
      </c>
      <c r="B131" s="5" t="s">
        <v>435</v>
      </c>
      <c r="C131" s="5">
        <v>9</v>
      </c>
      <c r="D131" s="17">
        <v>8500</v>
      </c>
      <c r="E131" s="17">
        <f t="shared" si="1"/>
        <v>76500</v>
      </c>
    </row>
    <row r="132" spans="1:5" x14ac:dyDescent="0.35">
      <c r="A132" s="13">
        <v>43201</v>
      </c>
      <c r="B132" s="5" t="s">
        <v>112</v>
      </c>
      <c r="C132" s="5">
        <v>6</v>
      </c>
      <c r="D132" s="17">
        <v>42000</v>
      </c>
      <c r="E132" s="17">
        <f t="shared" ref="E132:E195" si="2">D132*C132</f>
        <v>252000</v>
      </c>
    </row>
    <row r="133" spans="1:5" x14ac:dyDescent="0.35">
      <c r="A133" s="13">
        <v>43201</v>
      </c>
      <c r="B133" s="5" t="s">
        <v>436</v>
      </c>
      <c r="C133" s="5">
        <v>50</v>
      </c>
      <c r="D133" s="17">
        <v>800</v>
      </c>
      <c r="E133" s="17">
        <f t="shared" si="2"/>
        <v>40000</v>
      </c>
    </row>
    <row r="134" spans="1:5" x14ac:dyDescent="0.35">
      <c r="A134" s="13">
        <v>43201</v>
      </c>
      <c r="B134" s="5" t="s">
        <v>4</v>
      </c>
      <c r="C134" s="5">
        <v>7</v>
      </c>
      <c r="D134" s="17">
        <v>39000</v>
      </c>
      <c r="E134" s="17">
        <f t="shared" si="2"/>
        <v>273000</v>
      </c>
    </row>
    <row r="135" spans="1:5" x14ac:dyDescent="0.35">
      <c r="A135" s="13">
        <v>43201</v>
      </c>
      <c r="B135" s="5" t="s">
        <v>201</v>
      </c>
      <c r="C135" s="5">
        <v>6</v>
      </c>
      <c r="D135" s="17">
        <v>47000</v>
      </c>
      <c r="E135" s="17">
        <f t="shared" si="2"/>
        <v>282000</v>
      </c>
    </row>
    <row r="136" spans="1:5" x14ac:dyDescent="0.35">
      <c r="A136" s="13">
        <v>43201</v>
      </c>
      <c r="B136" s="5" t="s">
        <v>437</v>
      </c>
      <c r="C136" s="5">
        <v>5</v>
      </c>
      <c r="D136" s="17">
        <v>46000</v>
      </c>
      <c r="E136" s="17">
        <f t="shared" si="2"/>
        <v>230000</v>
      </c>
    </row>
    <row r="137" spans="1:5" x14ac:dyDescent="0.35">
      <c r="A137" s="13">
        <v>43201</v>
      </c>
      <c r="B137" s="5" t="s">
        <v>403</v>
      </c>
      <c r="C137" s="5">
        <v>25</v>
      </c>
      <c r="D137" s="17">
        <v>2000</v>
      </c>
      <c r="E137" s="17">
        <f t="shared" si="2"/>
        <v>50000</v>
      </c>
    </row>
    <row r="138" spans="1:5" x14ac:dyDescent="0.35">
      <c r="A138" s="13">
        <v>43202</v>
      </c>
      <c r="E138" s="17">
        <f t="shared" si="2"/>
        <v>0</v>
      </c>
    </row>
    <row r="139" spans="1:5" x14ac:dyDescent="0.35">
      <c r="A139" s="13">
        <v>43202</v>
      </c>
      <c r="B139" s="5" t="s">
        <v>34</v>
      </c>
      <c r="C139" s="5">
        <v>1</v>
      </c>
      <c r="D139" s="17">
        <v>48000</v>
      </c>
      <c r="E139" s="17">
        <f t="shared" si="2"/>
        <v>48000</v>
      </c>
    </row>
    <row r="140" spans="1:5" x14ac:dyDescent="0.35">
      <c r="A140" s="13">
        <v>43202</v>
      </c>
      <c r="B140" s="5" t="s">
        <v>4</v>
      </c>
      <c r="C140" s="5">
        <v>3</v>
      </c>
      <c r="D140" s="17">
        <v>38000</v>
      </c>
      <c r="E140" s="17">
        <f t="shared" si="2"/>
        <v>114000</v>
      </c>
    </row>
    <row r="141" spans="1:5" x14ac:dyDescent="0.35">
      <c r="A141" s="13">
        <v>43202</v>
      </c>
      <c r="B141" s="5" t="s">
        <v>438</v>
      </c>
      <c r="C141" s="5">
        <v>2</v>
      </c>
      <c r="D141" s="17">
        <v>59000</v>
      </c>
      <c r="E141" s="17">
        <f t="shared" si="2"/>
        <v>118000</v>
      </c>
    </row>
    <row r="142" spans="1:5" x14ac:dyDescent="0.35">
      <c r="A142" s="13">
        <v>43202</v>
      </c>
      <c r="B142" s="5" t="s">
        <v>199</v>
      </c>
      <c r="C142" s="5">
        <v>1</v>
      </c>
      <c r="D142" s="17">
        <v>47000</v>
      </c>
      <c r="E142" s="17">
        <f t="shared" si="2"/>
        <v>47000</v>
      </c>
    </row>
    <row r="143" spans="1:5" x14ac:dyDescent="0.35">
      <c r="A143" s="13">
        <v>43202</v>
      </c>
      <c r="B143" s="5" t="s">
        <v>439</v>
      </c>
      <c r="C143" s="5">
        <v>1</v>
      </c>
      <c r="D143" s="17">
        <v>160000</v>
      </c>
      <c r="E143" s="17">
        <f t="shared" si="2"/>
        <v>160000</v>
      </c>
    </row>
    <row r="144" spans="1:5" x14ac:dyDescent="0.35">
      <c r="A144" s="13">
        <v>43202</v>
      </c>
      <c r="B144" s="5" t="s">
        <v>440</v>
      </c>
      <c r="C144" s="5">
        <v>1</v>
      </c>
      <c r="D144" s="17">
        <v>65000</v>
      </c>
      <c r="E144" s="17">
        <f t="shared" si="2"/>
        <v>65000</v>
      </c>
    </row>
    <row r="145" spans="1:5" x14ac:dyDescent="0.35">
      <c r="A145" s="13">
        <v>43202</v>
      </c>
      <c r="B145" s="5" t="s">
        <v>441</v>
      </c>
      <c r="C145" s="5">
        <v>1</v>
      </c>
      <c r="D145" s="17">
        <v>65000</v>
      </c>
      <c r="E145" s="17">
        <f t="shared" si="2"/>
        <v>65000</v>
      </c>
    </row>
    <row r="146" spans="1:5" x14ac:dyDescent="0.35">
      <c r="A146" s="13">
        <v>43202</v>
      </c>
      <c r="B146" s="5" t="s">
        <v>183</v>
      </c>
      <c r="C146" s="5">
        <v>4</v>
      </c>
      <c r="D146" s="17">
        <v>28000</v>
      </c>
      <c r="E146" s="17">
        <f t="shared" si="2"/>
        <v>112000</v>
      </c>
    </row>
    <row r="147" spans="1:5" x14ac:dyDescent="0.35">
      <c r="A147" s="13">
        <v>43202</v>
      </c>
      <c r="B147" s="5" t="s">
        <v>32</v>
      </c>
      <c r="C147" s="5">
        <v>9</v>
      </c>
      <c r="D147" s="17">
        <v>43000</v>
      </c>
      <c r="E147" s="17">
        <f t="shared" si="2"/>
        <v>387000</v>
      </c>
    </row>
    <row r="148" spans="1:5" x14ac:dyDescent="0.35">
      <c r="A148" s="13">
        <v>43202</v>
      </c>
      <c r="B148" s="5" t="s">
        <v>92</v>
      </c>
      <c r="C148" s="5">
        <v>15</v>
      </c>
      <c r="D148" s="17">
        <v>1600</v>
      </c>
      <c r="E148" s="17">
        <f t="shared" si="2"/>
        <v>24000</v>
      </c>
    </row>
    <row r="149" spans="1:5" x14ac:dyDescent="0.35">
      <c r="A149" s="13">
        <v>43202</v>
      </c>
      <c r="B149" s="5" t="s">
        <v>442</v>
      </c>
      <c r="C149" s="5">
        <v>50</v>
      </c>
      <c r="D149" s="17">
        <v>68500</v>
      </c>
      <c r="E149" s="17">
        <f t="shared" si="2"/>
        <v>3425000</v>
      </c>
    </row>
    <row r="150" spans="1:5" x14ac:dyDescent="0.35">
      <c r="A150" s="13">
        <v>43202</v>
      </c>
      <c r="B150" s="5" t="s">
        <v>443</v>
      </c>
      <c r="C150" s="5">
        <v>100</v>
      </c>
      <c r="D150" s="17">
        <v>8000</v>
      </c>
      <c r="E150" s="17">
        <f t="shared" si="2"/>
        <v>800000</v>
      </c>
    </row>
    <row r="151" spans="1:5" x14ac:dyDescent="0.35">
      <c r="A151" s="13">
        <v>43202</v>
      </c>
      <c r="B151" s="5" t="s">
        <v>34</v>
      </c>
      <c r="C151" s="5">
        <v>1</v>
      </c>
      <c r="D151" s="17">
        <v>43000</v>
      </c>
      <c r="E151" s="17">
        <f t="shared" si="2"/>
        <v>43000</v>
      </c>
    </row>
    <row r="152" spans="1:5" x14ac:dyDescent="0.35">
      <c r="A152" s="13">
        <v>43202</v>
      </c>
      <c r="B152" s="5" t="s">
        <v>34</v>
      </c>
      <c r="C152" s="5">
        <v>2</v>
      </c>
      <c r="D152" s="17">
        <v>47000</v>
      </c>
      <c r="E152" s="17">
        <f t="shared" si="2"/>
        <v>94000</v>
      </c>
    </row>
    <row r="153" spans="1:5" x14ac:dyDescent="0.35">
      <c r="A153" s="13">
        <v>43203</v>
      </c>
      <c r="E153" s="17">
        <f t="shared" si="2"/>
        <v>0</v>
      </c>
    </row>
    <row r="154" spans="1:5" x14ac:dyDescent="0.35">
      <c r="A154" s="13">
        <v>43203</v>
      </c>
      <c r="B154" s="5" t="s">
        <v>447</v>
      </c>
      <c r="C154" s="5">
        <v>1</v>
      </c>
      <c r="D154" s="17">
        <v>14000</v>
      </c>
      <c r="E154" s="17">
        <f t="shared" si="2"/>
        <v>14000</v>
      </c>
    </row>
    <row r="155" spans="1:5" x14ac:dyDescent="0.35">
      <c r="A155" s="13">
        <v>43203</v>
      </c>
      <c r="B155" s="5" t="s">
        <v>448</v>
      </c>
      <c r="C155" s="5">
        <v>1</v>
      </c>
      <c r="D155" s="17">
        <v>8500</v>
      </c>
      <c r="E155" s="17">
        <f t="shared" si="2"/>
        <v>8500</v>
      </c>
    </row>
    <row r="156" spans="1:5" x14ac:dyDescent="0.35">
      <c r="A156" s="13">
        <v>43203</v>
      </c>
      <c r="B156" s="5" t="s">
        <v>449</v>
      </c>
      <c r="C156" s="5">
        <v>21</v>
      </c>
      <c r="D156" s="17">
        <v>1600</v>
      </c>
      <c r="E156" s="17">
        <f t="shared" si="2"/>
        <v>33600</v>
      </c>
    </row>
    <row r="157" spans="1:5" x14ac:dyDescent="0.35">
      <c r="A157" s="13">
        <v>43203</v>
      </c>
      <c r="B157" s="5" t="s">
        <v>450</v>
      </c>
      <c r="C157" s="5">
        <v>5</v>
      </c>
      <c r="D157" s="17">
        <v>47000</v>
      </c>
      <c r="E157" s="17">
        <f t="shared" si="2"/>
        <v>235000</v>
      </c>
    </row>
    <row r="158" spans="1:5" x14ac:dyDescent="0.35">
      <c r="A158" s="13">
        <v>43203</v>
      </c>
      <c r="B158" s="5" t="s">
        <v>298</v>
      </c>
      <c r="C158" s="5">
        <v>3</v>
      </c>
      <c r="D158" s="17">
        <v>57500</v>
      </c>
      <c r="E158" s="17">
        <f t="shared" si="2"/>
        <v>172500</v>
      </c>
    </row>
    <row r="159" spans="1:5" x14ac:dyDescent="0.35">
      <c r="A159" s="13">
        <v>43203</v>
      </c>
      <c r="B159" s="5" t="s">
        <v>101</v>
      </c>
      <c r="C159" s="5">
        <v>3</v>
      </c>
      <c r="D159" s="17">
        <v>50000</v>
      </c>
      <c r="E159" s="17">
        <f t="shared" si="2"/>
        <v>150000</v>
      </c>
    </row>
    <row r="160" spans="1:5" x14ac:dyDescent="0.35">
      <c r="A160" s="13">
        <v>43203</v>
      </c>
      <c r="B160" s="5" t="s">
        <v>404</v>
      </c>
      <c r="C160" s="5">
        <v>35</v>
      </c>
      <c r="D160" s="17">
        <v>46500</v>
      </c>
      <c r="E160" s="17">
        <f t="shared" si="2"/>
        <v>1627500</v>
      </c>
    </row>
    <row r="161" spans="1:5" x14ac:dyDescent="0.35">
      <c r="A161" s="13">
        <v>43203</v>
      </c>
      <c r="B161" s="5" t="s">
        <v>25</v>
      </c>
      <c r="C161" s="5">
        <v>3</v>
      </c>
      <c r="D161" s="17">
        <v>54000</v>
      </c>
      <c r="E161" s="17">
        <f t="shared" si="2"/>
        <v>162000</v>
      </c>
    </row>
    <row r="162" spans="1:5" x14ac:dyDescent="0.35">
      <c r="A162" s="13">
        <v>43203</v>
      </c>
      <c r="B162" s="5" t="s">
        <v>4</v>
      </c>
      <c r="C162" s="5">
        <v>6</v>
      </c>
      <c r="D162" s="17">
        <v>39000</v>
      </c>
      <c r="E162" s="17">
        <f t="shared" si="2"/>
        <v>234000</v>
      </c>
    </row>
    <row r="163" spans="1:5" x14ac:dyDescent="0.35">
      <c r="A163" s="13">
        <v>43203</v>
      </c>
      <c r="B163" s="5" t="s">
        <v>238</v>
      </c>
      <c r="C163" s="5">
        <v>290</v>
      </c>
      <c r="D163" s="17">
        <v>1000</v>
      </c>
      <c r="E163" s="17">
        <f t="shared" si="2"/>
        <v>290000</v>
      </c>
    </row>
    <row r="164" spans="1:5" x14ac:dyDescent="0.35">
      <c r="A164" s="13">
        <v>43203</v>
      </c>
      <c r="B164" s="5" t="s">
        <v>445</v>
      </c>
      <c r="C164" s="5">
        <v>290</v>
      </c>
      <c r="D164" s="17">
        <v>1000</v>
      </c>
      <c r="E164" s="17">
        <f t="shared" si="2"/>
        <v>290000</v>
      </c>
    </row>
    <row r="165" spans="1:5" x14ac:dyDescent="0.35">
      <c r="A165" s="13">
        <v>43203</v>
      </c>
      <c r="B165" s="5" t="s">
        <v>446</v>
      </c>
      <c r="C165" s="5">
        <v>6</v>
      </c>
      <c r="D165" s="17">
        <v>43500</v>
      </c>
      <c r="E165" s="17">
        <f t="shared" si="2"/>
        <v>261000</v>
      </c>
    </row>
    <row r="166" spans="1:5" x14ac:dyDescent="0.35">
      <c r="A166" s="13">
        <v>43203</v>
      </c>
      <c r="B166" s="5" t="s">
        <v>398</v>
      </c>
      <c r="C166" s="5">
        <v>7</v>
      </c>
      <c r="D166" s="17">
        <v>8500</v>
      </c>
      <c r="E166" s="17">
        <f t="shared" si="2"/>
        <v>59500</v>
      </c>
    </row>
    <row r="167" spans="1:5" x14ac:dyDescent="0.35">
      <c r="A167" s="13">
        <v>43203</v>
      </c>
      <c r="B167" s="5" t="s">
        <v>420</v>
      </c>
      <c r="C167" s="5">
        <v>27</v>
      </c>
      <c r="D167" s="17">
        <v>8500</v>
      </c>
      <c r="E167" s="17">
        <f t="shared" si="2"/>
        <v>229500</v>
      </c>
    </row>
    <row r="168" spans="1:5" x14ac:dyDescent="0.35">
      <c r="A168" s="13">
        <v>43173</v>
      </c>
      <c r="E168" s="17">
        <f t="shared" si="2"/>
        <v>0</v>
      </c>
    </row>
    <row r="169" spans="1:5" x14ac:dyDescent="0.35">
      <c r="A169" s="13">
        <v>43173</v>
      </c>
      <c r="B169" s="5" t="s">
        <v>137</v>
      </c>
      <c r="C169" s="5">
        <v>15</v>
      </c>
      <c r="D169" s="17">
        <v>50500</v>
      </c>
      <c r="E169" s="17">
        <f t="shared" si="2"/>
        <v>757500</v>
      </c>
    </row>
    <row r="170" spans="1:5" x14ac:dyDescent="0.35">
      <c r="A170" s="13">
        <v>43173</v>
      </c>
      <c r="B170" s="5" t="s">
        <v>377</v>
      </c>
      <c r="C170" s="5">
        <v>4</v>
      </c>
      <c r="D170" s="17">
        <v>45500</v>
      </c>
      <c r="E170" s="17">
        <f t="shared" si="2"/>
        <v>182000</v>
      </c>
    </row>
    <row r="171" spans="1:5" x14ac:dyDescent="0.35">
      <c r="A171" s="13">
        <v>43173</v>
      </c>
      <c r="B171" s="5" t="s">
        <v>4</v>
      </c>
      <c r="C171" s="5">
        <v>30</v>
      </c>
      <c r="D171" s="17">
        <v>38500</v>
      </c>
      <c r="E171" s="17">
        <f t="shared" si="2"/>
        <v>1155000</v>
      </c>
    </row>
    <row r="172" spans="1:5" x14ac:dyDescent="0.35">
      <c r="A172" s="13">
        <v>43173</v>
      </c>
      <c r="B172" s="5" t="s">
        <v>451</v>
      </c>
      <c r="C172" s="5">
        <v>10</v>
      </c>
      <c r="D172" s="17">
        <v>48000</v>
      </c>
      <c r="E172" s="17">
        <f t="shared" si="2"/>
        <v>480000</v>
      </c>
    </row>
    <row r="173" spans="1:5" x14ac:dyDescent="0.35">
      <c r="A173" s="13">
        <v>43173</v>
      </c>
      <c r="B173" s="5" t="s">
        <v>452</v>
      </c>
      <c r="C173" s="5">
        <v>31</v>
      </c>
      <c r="D173" s="17">
        <v>3000</v>
      </c>
      <c r="E173" s="17">
        <f t="shared" si="2"/>
        <v>93000</v>
      </c>
    </row>
    <row r="174" spans="1:5" x14ac:dyDescent="0.35">
      <c r="A174" s="13">
        <v>43173</v>
      </c>
      <c r="B174" s="5" t="s">
        <v>288</v>
      </c>
      <c r="C174" s="5">
        <v>3</v>
      </c>
      <c r="D174" s="17">
        <v>46000</v>
      </c>
      <c r="E174" s="17">
        <f t="shared" si="2"/>
        <v>138000</v>
      </c>
    </row>
    <row r="175" spans="1:5" x14ac:dyDescent="0.35">
      <c r="A175" s="13">
        <v>43173</v>
      </c>
      <c r="B175" s="5" t="s">
        <v>453</v>
      </c>
      <c r="C175" s="5">
        <v>18</v>
      </c>
      <c r="D175" s="17">
        <v>1600</v>
      </c>
      <c r="E175" s="17">
        <f t="shared" si="2"/>
        <v>28800</v>
      </c>
    </row>
    <row r="176" spans="1:5" x14ac:dyDescent="0.35">
      <c r="A176" s="13">
        <v>43173</v>
      </c>
      <c r="B176" s="5" t="s">
        <v>438</v>
      </c>
      <c r="C176" s="5">
        <v>3</v>
      </c>
      <c r="D176" s="17">
        <v>59000</v>
      </c>
      <c r="E176" s="17">
        <f t="shared" si="2"/>
        <v>177000</v>
      </c>
    </row>
    <row r="177" spans="1:5" x14ac:dyDescent="0.35">
      <c r="A177" s="13">
        <v>43206</v>
      </c>
      <c r="E177" s="17">
        <f t="shared" si="2"/>
        <v>0</v>
      </c>
    </row>
    <row r="178" spans="1:5" x14ac:dyDescent="0.35">
      <c r="A178" s="13">
        <v>43206</v>
      </c>
      <c r="B178" s="5" t="s">
        <v>390</v>
      </c>
      <c r="C178" s="5">
        <v>3</v>
      </c>
      <c r="D178" s="17">
        <v>56000</v>
      </c>
      <c r="E178" s="17">
        <f t="shared" si="2"/>
        <v>168000</v>
      </c>
    </row>
    <row r="179" spans="1:5" x14ac:dyDescent="0.35">
      <c r="A179" s="13">
        <v>43206</v>
      </c>
      <c r="B179" s="5" t="s">
        <v>454</v>
      </c>
      <c r="C179" s="5">
        <v>12</v>
      </c>
      <c r="D179" s="17">
        <v>8500</v>
      </c>
      <c r="E179" s="17">
        <f t="shared" si="2"/>
        <v>102000</v>
      </c>
    </row>
    <row r="180" spans="1:5" x14ac:dyDescent="0.35">
      <c r="A180" s="13">
        <v>43206</v>
      </c>
      <c r="B180" s="5" t="s">
        <v>338</v>
      </c>
      <c r="C180" s="5">
        <v>4</v>
      </c>
      <c r="D180" s="17">
        <v>56000</v>
      </c>
      <c r="E180" s="17">
        <f t="shared" si="2"/>
        <v>224000</v>
      </c>
    </row>
    <row r="181" spans="1:5" x14ac:dyDescent="0.35">
      <c r="A181" s="13">
        <v>43206</v>
      </c>
      <c r="B181" s="5" t="s">
        <v>4</v>
      </c>
      <c r="C181" s="5">
        <v>4</v>
      </c>
      <c r="D181" s="17">
        <v>39000</v>
      </c>
      <c r="E181" s="17">
        <f t="shared" si="2"/>
        <v>156000</v>
      </c>
    </row>
    <row r="182" spans="1:5" x14ac:dyDescent="0.35">
      <c r="A182" s="13">
        <v>43206</v>
      </c>
      <c r="B182" s="5" t="s">
        <v>455</v>
      </c>
      <c r="C182" s="5">
        <v>10</v>
      </c>
      <c r="D182" s="17">
        <v>3500</v>
      </c>
      <c r="E182" s="17">
        <f t="shared" si="2"/>
        <v>35000</v>
      </c>
    </row>
    <row r="183" spans="1:5" x14ac:dyDescent="0.35">
      <c r="A183" s="13">
        <v>43206</v>
      </c>
      <c r="B183" s="5" t="s">
        <v>397</v>
      </c>
      <c r="C183" s="5">
        <v>1</v>
      </c>
      <c r="D183" s="17">
        <v>49000</v>
      </c>
      <c r="E183" s="17">
        <f t="shared" si="2"/>
        <v>49000</v>
      </c>
    </row>
    <row r="184" spans="1:5" x14ac:dyDescent="0.35">
      <c r="A184" s="13">
        <v>43206</v>
      </c>
      <c r="B184" s="5" t="s">
        <v>125</v>
      </c>
      <c r="C184" s="5">
        <v>18</v>
      </c>
      <c r="D184" s="17">
        <v>39000</v>
      </c>
      <c r="E184" s="17">
        <f t="shared" si="2"/>
        <v>702000</v>
      </c>
    </row>
    <row r="185" spans="1:5" x14ac:dyDescent="0.35">
      <c r="A185" s="13">
        <v>43206</v>
      </c>
      <c r="B185" s="5" t="s">
        <v>456</v>
      </c>
      <c r="C185" s="5">
        <v>1</v>
      </c>
      <c r="D185" s="17">
        <v>38000</v>
      </c>
      <c r="E185" s="17">
        <f t="shared" si="2"/>
        <v>38000</v>
      </c>
    </row>
    <row r="186" spans="1:5" x14ac:dyDescent="0.35">
      <c r="A186" s="13">
        <v>43206</v>
      </c>
      <c r="B186" s="5" t="s">
        <v>227</v>
      </c>
      <c r="C186" s="5">
        <v>1</v>
      </c>
      <c r="D186" s="17">
        <v>38000</v>
      </c>
      <c r="E186" s="17">
        <f t="shared" si="2"/>
        <v>38000</v>
      </c>
    </row>
    <row r="187" spans="1:5" x14ac:dyDescent="0.35">
      <c r="A187" s="13">
        <v>43206</v>
      </c>
      <c r="B187" s="5" t="s">
        <v>355</v>
      </c>
      <c r="C187" s="5">
        <v>2</v>
      </c>
      <c r="D187" s="17">
        <v>8000</v>
      </c>
      <c r="E187" s="17">
        <f t="shared" si="2"/>
        <v>16000</v>
      </c>
    </row>
    <row r="188" spans="1:5" x14ac:dyDescent="0.35">
      <c r="A188" s="13">
        <v>43206</v>
      </c>
      <c r="B188" s="5" t="s">
        <v>457</v>
      </c>
      <c r="C188" s="5">
        <v>1</v>
      </c>
      <c r="D188" s="17">
        <v>14000</v>
      </c>
      <c r="E188" s="17">
        <f t="shared" si="2"/>
        <v>14000</v>
      </c>
    </row>
    <row r="189" spans="1:5" x14ac:dyDescent="0.35">
      <c r="A189" s="13">
        <v>43206</v>
      </c>
      <c r="B189" s="5" t="s">
        <v>59</v>
      </c>
      <c r="C189" s="5">
        <v>20</v>
      </c>
      <c r="D189" s="17">
        <v>56000</v>
      </c>
      <c r="E189" s="17">
        <f t="shared" si="2"/>
        <v>1120000</v>
      </c>
    </row>
    <row r="190" spans="1:5" x14ac:dyDescent="0.35">
      <c r="A190" s="13">
        <v>43206</v>
      </c>
      <c r="B190" s="5" t="s">
        <v>458</v>
      </c>
      <c r="C190" s="5">
        <v>15</v>
      </c>
      <c r="D190" s="17">
        <v>1600</v>
      </c>
      <c r="E190" s="17">
        <f t="shared" si="2"/>
        <v>24000</v>
      </c>
    </row>
    <row r="191" spans="1:5" x14ac:dyDescent="0.35">
      <c r="A191" s="13">
        <v>43206</v>
      </c>
      <c r="B191" s="5" t="s">
        <v>459</v>
      </c>
      <c r="C191" s="5">
        <v>26</v>
      </c>
      <c r="D191" s="17">
        <v>45000</v>
      </c>
      <c r="E191" s="17">
        <f t="shared" si="2"/>
        <v>1170000</v>
      </c>
    </row>
    <row r="192" spans="1:5" x14ac:dyDescent="0.35">
      <c r="A192" s="13">
        <v>43206</v>
      </c>
      <c r="B192" s="5" t="s">
        <v>35</v>
      </c>
      <c r="C192" s="5">
        <v>21</v>
      </c>
      <c r="D192" s="17">
        <v>38500</v>
      </c>
      <c r="E192" s="17">
        <f t="shared" si="2"/>
        <v>808500</v>
      </c>
    </row>
    <row r="193" spans="1:5" x14ac:dyDescent="0.35">
      <c r="A193" s="13">
        <v>43206</v>
      </c>
      <c r="B193" s="5" t="s">
        <v>460</v>
      </c>
      <c r="C193" s="5">
        <v>30</v>
      </c>
      <c r="D193" s="17">
        <v>8500</v>
      </c>
      <c r="E193" s="17">
        <f t="shared" si="2"/>
        <v>255000</v>
      </c>
    </row>
    <row r="194" spans="1:5" x14ac:dyDescent="0.35">
      <c r="A194" s="13">
        <v>43207</v>
      </c>
      <c r="E194" s="17">
        <f t="shared" si="2"/>
        <v>0</v>
      </c>
    </row>
    <row r="195" spans="1:5" x14ac:dyDescent="0.35">
      <c r="A195" s="13">
        <v>43207</v>
      </c>
      <c r="B195" s="5" t="s">
        <v>462</v>
      </c>
      <c r="C195" s="5">
        <v>8</v>
      </c>
      <c r="D195" s="17">
        <v>56000</v>
      </c>
      <c r="E195" s="17">
        <f t="shared" si="2"/>
        <v>448000</v>
      </c>
    </row>
    <row r="196" spans="1:5" x14ac:dyDescent="0.35">
      <c r="A196" s="13">
        <v>43207</v>
      </c>
      <c r="B196" s="5" t="s">
        <v>220</v>
      </c>
      <c r="C196" s="5">
        <v>55</v>
      </c>
      <c r="D196" s="17">
        <v>46900</v>
      </c>
      <c r="E196" s="17">
        <f t="shared" ref="E196:E259" si="3">D196*C196</f>
        <v>2579500</v>
      </c>
    </row>
    <row r="197" spans="1:5" x14ac:dyDescent="0.35">
      <c r="A197" s="13">
        <v>43207</v>
      </c>
      <c r="B197" s="5" t="s">
        <v>125</v>
      </c>
      <c r="C197" s="5">
        <v>4</v>
      </c>
      <c r="D197" s="17">
        <v>39000</v>
      </c>
      <c r="E197" s="17">
        <f t="shared" si="3"/>
        <v>156000</v>
      </c>
    </row>
    <row r="198" spans="1:5" x14ac:dyDescent="0.35">
      <c r="A198" s="13">
        <v>43207</v>
      </c>
      <c r="B198" s="5" t="s">
        <v>12</v>
      </c>
      <c r="C198" s="5">
        <v>2</v>
      </c>
      <c r="D198" s="17">
        <v>53000</v>
      </c>
      <c r="E198" s="17">
        <f t="shared" si="3"/>
        <v>106000</v>
      </c>
    </row>
    <row r="199" spans="1:5" x14ac:dyDescent="0.35">
      <c r="A199" s="13">
        <v>43207</v>
      </c>
      <c r="B199" s="5" t="s">
        <v>272</v>
      </c>
      <c r="C199" s="5">
        <v>7</v>
      </c>
      <c r="D199" s="17">
        <v>3500</v>
      </c>
      <c r="E199" s="17">
        <f t="shared" si="3"/>
        <v>24500</v>
      </c>
    </row>
    <row r="200" spans="1:5" x14ac:dyDescent="0.35">
      <c r="A200" s="13">
        <v>43207</v>
      </c>
      <c r="B200" s="5" t="s">
        <v>463</v>
      </c>
      <c r="C200" s="5">
        <v>19</v>
      </c>
      <c r="D200" s="17">
        <v>48500</v>
      </c>
      <c r="E200" s="17">
        <f t="shared" si="3"/>
        <v>921500</v>
      </c>
    </row>
    <row r="201" spans="1:5" x14ac:dyDescent="0.35">
      <c r="A201" s="13">
        <v>43207</v>
      </c>
      <c r="B201" s="5" t="s">
        <v>464</v>
      </c>
      <c r="C201" s="5">
        <v>90</v>
      </c>
      <c r="D201" s="17">
        <v>3500</v>
      </c>
      <c r="E201" s="17">
        <f t="shared" si="3"/>
        <v>315000</v>
      </c>
    </row>
    <row r="202" spans="1:5" x14ac:dyDescent="0.35">
      <c r="A202" s="13">
        <v>43207</v>
      </c>
      <c r="B202" s="5" t="s">
        <v>465</v>
      </c>
      <c r="C202" s="5">
        <v>10</v>
      </c>
      <c r="D202" s="17">
        <v>45000</v>
      </c>
      <c r="E202" s="17">
        <f t="shared" si="3"/>
        <v>450000</v>
      </c>
    </row>
    <row r="203" spans="1:5" x14ac:dyDescent="0.35">
      <c r="A203" s="13">
        <v>43207</v>
      </c>
      <c r="B203" s="5" t="s">
        <v>466</v>
      </c>
      <c r="C203" s="5">
        <v>5</v>
      </c>
      <c r="D203" s="17">
        <v>96000</v>
      </c>
      <c r="E203" s="17">
        <f t="shared" si="3"/>
        <v>480000</v>
      </c>
    </row>
    <row r="204" spans="1:5" x14ac:dyDescent="0.35">
      <c r="A204" s="13">
        <v>43207</v>
      </c>
      <c r="B204" s="5" t="s">
        <v>68</v>
      </c>
      <c r="C204" s="5">
        <v>1</v>
      </c>
      <c r="D204" s="17">
        <v>15000</v>
      </c>
      <c r="E204" s="17">
        <f t="shared" si="3"/>
        <v>15000</v>
      </c>
    </row>
    <row r="205" spans="1:5" x14ac:dyDescent="0.35">
      <c r="A205" s="13">
        <v>43207</v>
      </c>
      <c r="B205" s="5" t="s">
        <v>187</v>
      </c>
      <c r="C205" s="5">
        <v>8</v>
      </c>
      <c r="D205" s="17">
        <v>47000</v>
      </c>
      <c r="E205" s="17">
        <f t="shared" si="3"/>
        <v>376000</v>
      </c>
    </row>
    <row r="206" spans="1:5" x14ac:dyDescent="0.35">
      <c r="A206" s="13">
        <v>43207</v>
      </c>
      <c r="B206" s="5" t="s">
        <v>467</v>
      </c>
      <c r="C206" s="5">
        <v>29</v>
      </c>
      <c r="D206" s="17">
        <v>3500</v>
      </c>
      <c r="E206" s="17">
        <f t="shared" si="3"/>
        <v>101500</v>
      </c>
    </row>
    <row r="207" spans="1:5" x14ac:dyDescent="0.35">
      <c r="A207" s="13">
        <v>43207</v>
      </c>
      <c r="B207" s="5" t="s">
        <v>32</v>
      </c>
      <c r="C207" s="5">
        <v>1</v>
      </c>
      <c r="D207" s="17">
        <v>43000</v>
      </c>
      <c r="E207" s="17">
        <f t="shared" si="3"/>
        <v>43000</v>
      </c>
    </row>
    <row r="208" spans="1:5" x14ac:dyDescent="0.35">
      <c r="A208" s="13">
        <v>43207</v>
      </c>
      <c r="B208" s="5" t="s">
        <v>468</v>
      </c>
      <c r="C208" s="5">
        <v>2</v>
      </c>
      <c r="D208" s="17">
        <v>15000</v>
      </c>
      <c r="E208" s="17">
        <f t="shared" si="3"/>
        <v>30000</v>
      </c>
    </row>
    <row r="209" spans="1:5" x14ac:dyDescent="0.35">
      <c r="A209" s="13">
        <v>43207</v>
      </c>
      <c r="B209" s="5" t="s">
        <v>125</v>
      </c>
      <c r="C209" s="5">
        <v>7</v>
      </c>
      <c r="D209" s="17">
        <v>38000</v>
      </c>
      <c r="E209" s="17">
        <f t="shared" si="3"/>
        <v>266000</v>
      </c>
    </row>
    <row r="210" spans="1:5" x14ac:dyDescent="0.35">
      <c r="A210" s="13">
        <v>43207</v>
      </c>
      <c r="B210" s="5" t="s">
        <v>25</v>
      </c>
      <c r="C210" s="5">
        <v>1</v>
      </c>
      <c r="D210" s="17">
        <v>54000</v>
      </c>
      <c r="E210" s="17">
        <f t="shared" si="3"/>
        <v>54000</v>
      </c>
    </row>
    <row r="211" spans="1:5" x14ac:dyDescent="0.35">
      <c r="A211" s="13">
        <v>43208</v>
      </c>
      <c r="E211" s="17">
        <f t="shared" si="3"/>
        <v>0</v>
      </c>
    </row>
    <row r="212" spans="1:5" x14ac:dyDescent="0.35">
      <c r="A212" s="13">
        <v>43208</v>
      </c>
      <c r="B212" s="5" t="s">
        <v>469</v>
      </c>
      <c r="C212" s="5">
        <v>1</v>
      </c>
      <c r="D212" s="17">
        <v>48000</v>
      </c>
      <c r="E212" s="17">
        <f t="shared" si="3"/>
        <v>48000</v>
      </c>
    </row>
    <row r="213" spans="1:5" x14ac:dyDescent="0.35">
      <c r="A213" s="13">
        <v>43208</v>
      </c>
      <c r="B213" s="5" t="s">
        <v>11</v>
      </c>
      <c r="C213" s="5">
        <v>5</v>
      </c>
      <c r="D213" s="17">
        <v>1600</v>
      </c>
      <c r="E213" s="17">
        <f t="shared" si="3"/>
        <v>8000</v>
      </c>
    </row>
    <row r="214" spans="1:5" x14ac:dyDescent="0.35">
      <c r="A214" s="13">
        <v>43208</v>
      </c>
      <c r="B214" s="5" t="s">
        <v>470</v>
      </c>
      <c r="C214" s="5">
        <v>28</v>
      </c>
      <c r="D214" s="17">
        <v>800</v>
      </c>
      <c r="E214" s="17">
        <f t="shared" si="3"/>
        <v>22400</v>
      </c>
    </row>
    <row r="215" spans="1:5" x14ac:dyDescent="0.35">
      <c r="A215" s="13">
        <v>43208</v>
      </c>
      <c r="B215" s="5" t="s">
        <v>29</v>
      </c>
      <c r="C215" s="5">
        <v>7</v>
      </c>
      <c r="D215" s="17">
        <v>53500</v>
      </c>
      <c r="E215" s="17">
        <f t="shared" si="3"/>
        <v>374500</v>
      </c>
    </row>
    <row r="216" spans="1:5" x14ac:dyDescent="0.35">
      <c r="A216" s="13">
        <v>43208</v>
      </c>
      <c r="B216" s="5" t="s">
        <v>471</v>
      </c>
      <c r="C216" s="5">
        <v>5</v>
      </c>
      <c r="D216" s="17">
        <v>57000</v>
      </c>
      <c r="E216" s="17">
        <f t="shared" si="3"/>
        <v>285000</v>
      </c>
    </row>
    <row r="217" spans="1:5" x14ac:dyDescent="0.35">
      <c r="A217" s="13">
        <v>43208</v>
      </c>
      <c r="B217" s="5" t="s">
        <v>410</v>
      </c>
      <c r="C217" s="5">
        <v>3</v>
      </c>
      <c r="D217" s="17">
        <v>54000</v>
      </c>
      <c r="E217" s="17">
        <f t="shared" si="3"/>
        <v>162000</v>
      </c>
    </row>
    <row r="218" spans="1:5" x14ac:dyDescent="0.35">
      <c r="A218" s="13">
        <v>43208</v>
      </c>
      <c r="B218" s="5" t="s">
        <v>203</v>
      </c>
      <c r="C218" s="5">
        <v>20</v>
      </c>
      <c r="D218" s="17">
        <v>55000</v>
      </c>
      <c r="E218" s="17">
        <f t="shared" si="3"/>
        <v>1100000</v>
      </c>
    </row>
    <row r="219" spans="1:5" x14ac:dyDescent="0.35">
      <c r="A219" s="13">
        <v>43208</v>
      </c>
      <c r="B219" s="5" t="s">
        <v>116</v>
      </c>
      <c r="C219" s="5">
        <v>1</v>
      </c>
      <c r="D219" s="17">
        <v>52000</v>
      </c>
      <c r="E219" s="17">
        <f t="shared" si="3"/>
        <v>52000</v>
      </c>
    </row>
    <row r="220" spans="1:5" x14ac:dyDescent="0.35">
      <c r="A220" s="13">
        <v>43208</v>
      </c>
      <c r="B220" s="5" t="s">
        <v>25</v>
      </c>
      <c r="C220" s="5">
        <v>1</v>
      </c>
      <c r="D220" s="17">
        <v>54000</v>
      </c>
      <c r="E220" s="17">
        <f t="shared" si="3"/>
        <v>54000</v>
      </c>
    </row>
    <row r="221" spans="1:5" x14ac:dyDescent="0.35">
      <c r="A221" s="13">
        <v>43209</v>
      </c>
      <c r="E221" s="17">
        <f t="shared" si="3"/>
        <v>0</v>
      </c>
    </row>
    <row r="222" spans="1:5" x14ac:dyDescent="0.35">
      <c r="A222" s="13">
        <v>43209</v>
      </c>
      <c r="B222" s="5" t="s">
        <v>159</v>
      </c>
      <c r="C222" s="5">
        <v>1</v>
      </c>
      <c r="D222" s="17">
        <v>54500</v>
      </c>
      <c r="E222" s="17">
        <f t="shared" si="3"/>
        <v>54500</v>
      </c>
    </row>
    <row r="223" spans="1:5" x14ac:dyDescent="0.35">
      <c r="A223" s="13">
        <v>43209</v>
      </c>
      <c r="B223" s="5" t="s">
        <v>159</v>
      </c>
      <c r="C223" s="5">
        <v>2</v>
      </c>
      <c r="D223" s="17">
        <v>54000</v>
      </c>
      <c r="E223" s="17">
        <f t="shared" si="3"/>
        <v>108000</v>
      </c>
    </row>
    <row r="224" spans="1:5" x14ac:dyDescent="0.35">
      <c r="A224" s="13">
        <v>43209</v>
      </c>
      <c r="B224" s="5" t="s">
        <v>43</v>
      </c>
      <c r="C224" s="5">
        <v>2</v>
      </c>
      <c r="D224" s="17">
        <v>47000</v>
      </c>
      <c r="E224" s="17">
        <f t="shared" si="3"/>
        <v>94000</v>
      </c>
    </row>
    <row r="225" spans="1:5" x14ac:dyDescent="0.35">
      <c r="A225" s="13">
        <v>43209</v>
      </c>
      <c r="B225" s="5" t="s">
        <v>181</v>
      </c>
      <c r="C225" s="5">
        <v>3</v>
      </c>
      <c r="D225" s="17">
        <v>47000</v>
      </c>
      <c r="E225" s="17">
        <f t="shared" si="3"/>
        <v>141000</v>
      </c>
    </row>
    <row r="226" spans="1:5" x14ac:dyDescent="0.35">
      <c r="A226" s="13">
        <v>43209</v>
      </c>
      <c r="B226" s="5" t="s">
        <v>159</v>
      </c>
      <c r="C226" s="5">
        <v>6</v>
      </c>
      <c r="D226" s="17">
        <v>54500</v>
      </c>
      <c r="E226" s="17">
        <f t="shared" si="3"/>
        <v>327000</v>
      </c>
    </row>
    <row r="227" spans="1:5" x14ac:dyDescent="0.35">
      <c r="A227" s="13">
        <v>43209</v>
      </c>
      <c r="B227" s="5" t="s">
        <v>38</v>
      </c>
      <c r="C227" s="5">
        <v>4</v>
      </c>
      <c r="D227" s="17">
        <v>49000</v>
      </c>
      <c r="E227" s="17">
        <f t="shared" si="3"/>
        <v>196000</v>
      </c>
    </row>
    <row r="228" spans="1:5" x14ac:dyDescent="0.35">
      <c r="A228" s="13">
        <v>43209</v>
      </c>
      <c r="B228" s="5" t="s">
        <v>303</v>
      </c>
      <c r="C228" s="5">
        <v>13</v>
      </c>
      <c r="D228" s="17">
        <v>56000</v>
      </c>
      <c r="E228" s="17">
        <f t="shared" si="3"/>
        <v>728000</v>
      </c>
    </row>
    <row r="229" spans="1:5" x14ac:dyDescent="0.35">
      <c r="A229" s="13">
        <v>43209</v>
      </c>
      <c r="B229" s="5" t="s">
        <v>38</v>
      </c>
      <c r="C229" s="5">
        <v>4</v>
      </c>
      <c r="D229" s="17">
        <v>49000</v>
      </c>
      <c r="E229" s="17">
        <f t="shared" si="3"/>
        <v>196000</v>
      </c>
    </row>
    <row r="230" spans="1:5" x14ac:dyDescent="0.35">
      <c r="A230" s="13">
        <v>43209</v>
      </c>
      <c r="B230" s="5" t="s">
        <v>474</v>
      </c>
      <c r="C230" s="5">
        <v>2</v>
      </c>
      <c r="D230" s="17">
        <v>125000</v>
      </c>
      <c r="E230" s="17">
        <f t="shared" si="3"/>
        <v>250000</v>
      </c>
    </row>
    <row r="231" spans="1:5" x14ac:dyDescent="0.35">
      <c r="A231" s="13">
        <v>43209</v>
      </c>
      <c r="B231" s="5" t="s">
        <v>475</v>
      </c>
      <c r="C231" s="5">
        <v>14</v>
      </c>
      <c r="D231" s="17">
        <v>2000</v>
      </c>
      <c r="E231" s="17">
        <f t="shared" si="3"/>
        <v>28000</v>
      </c>
    </row>
    <row r="232" spans="1:5" x14ac:dyDescent="0.35">
      <c r="A232" s="13">
        <v>43209</v>
      </c>
      <c r="B232" s="5" t="s">
        <v>203</v>
      </c>
      <c r="C232" s="5">
        <v>16</v>
      </c>
      <c r="D232" s="17">
        <v>56000</v>
      </c>
      <c r="E232" s="17">
        <f t="shared" si="3"/>
        <v>896000</v>
      </c>
    </row>
    <row r="233" spans="1:5" x14ac:dyDescent="0.35">
      <c r="A233" s="13">
        <v>43209</v>
      </c>
      <c r="B233" s="5" t="s">
        <v>428</v>
      </c>
      <c r="C233" s="5">
        <v>5</v>
      </c>
      <c r="D233" s="17">
        <v>54000</v>
      </c>
      <c r="E233" s="17">
        <f t="shared" si="3"/>
        <v>270000</v>
      </c>
    </row>
    <row r="234" spans="1:5" x14ac:dyDescent="0.35">
      <c r="A234" s="13">
        <v>43209</v>
      </c>
      <c r="B234" s="5" t="s">
        <v>473</v>
      </c>
      <c r="C234" s="5">
        <v>20</v>
      </c>
      <c r="D234" s="17">
        <v>9500</v>
      </c>
      <c r="E234" s="17">
        <f t="shared" si="3"/>
        <v>190000</v>
      </c>
    </row>
    <row r="235" spans="1:5" x14ac:dyDescent="0.35">
      <c r="A235" s="13">
        <v>43209</v>
      </c>
      <c r="B235" s="5" t="s">
        <v>307</v>
      </c>
      <c r="C235" s="5">
        <v>20</v>
      </c>
      <c r="D235" s="17">
        <v>8500</v>
      </c>
      <c r="E235" s="17">
        <f t="shared" si="3"/>
        <v>170000</v>
      </c>
    </row>
    <row r="236" spans="1:5" x14ac:dyDescent="0.35">
      <c r="A236" s="13">
        <v>43210</v>
      </c>
      <c r="E236" s="17">
        <f t="shared" si="3"/>
        <v>0</v>
      </c>
    </row>
    <row r="237" spans="1:5" x14ac:dyDescent="0.35">
      <c r="A237" s="13">
        <v>43210</v>
      </c>
      <c r="B237" s="5" t="s">
        <v>4</v>
      </c>
      <c r="C237" s="5">
        <v>6</v>
      </c>
      <c r="D237" s="17">
        <v>38000</v>
      </c>
      <c r="E237" s="17">
        <f t="shared" si="3"/>
        <v>228000</v>
      </c>
    </row>
    <row r="238" spans="1:5" x14ac:dyDescent="0.35">
      <c r="A238" s="13">
        <v>43210</v>
      </c>
      <c r="B238" s="5" t="s">
        <v>476</v>
      </c>
      <c r="C238" s="5">
        <v>2</v>
      </c>
      <c r="D238" s="17">
        <v>57000</v>
      </c>
      <c r="E238" s="17">
        <f t="shared" si="3"/>
        <v>114000</v>
      </c>
    </row>
    <row r="239" spans="1:5" x14ac:dyDescent="0.35">
      <c r="A239" s="13">
        <v>43210</v>
      </c>
      <c r="B239" s="5" t="s">
        <v>183</v>
      </c>
      <c r="C239" s="5">
        <v>1</v>
      </c>
      <c r="D239" s="17">
        <v>28000</v>
      </c>
      <c r="E239" s="17">
        <f t="shared" si="3"/>
        <v>28000</v>
      </c>
    </row>
    <row r="240" spans="1:5" x14ac:dyDescent="0.35">
      <c r="A240" s="13">
        <v>43210</v>
      </c>
      <c r="B240" s="5" t="s">
        <v>125</v>
      </c>
      <c r="C240" s="5">
        <v>5</v>
      </c>
      <c r="D240" s="17">
        <v>38000</v>
      </c>
      <c r="E240" s="17">
        <f t="shared" si="3"/>
        <v>190000</v>
      </c>
    </row>
    <row r="241" spans="1:5" x14ac:dyDescent="0.35">
      <c r="A241" s="13">
        <v>43210</v>
      </c>
      <c r="B241" s="5" t="s">
        <v>4</v>
      </c>
      <c r="C241" s="5">
        <v>4</v>
      </c>
      <c r="D241" s="17">
        <v>39000</v>
      </c>
      <c r="E241" s="17">
        <f t="shared" si="3"/>
        <v>156000</v>
      </c>
    </row>
    <row r="242" spans="1:5" x14ac:dyDescent="0.35">
      <c r="A242" s="13">
        <v>43210</v>
      </c>
      <c r="B242" s="5" t="s">
        <v>38</v>
      </c>
      <c r="C242" s="5">
        <v>1</v>
      </c>
      <c r="D242" s="17">
        <v>49000</v>
      </c>
      <c r="E242" s="17">
        <f t="shared" si="3"/>
        <v>49000</v>
      </c>
    </row>
    <row r="243" spans="1:5" x14ac:dyDescent="0.35">
      <c r="A243" s="13">
        <v>43210</v>
      </c>
      <c r="B243" s="5" t="s">
        <v>438</v>
      </c>
      <c r="C243" s="5">
        <v>2</v>
      </c>
      <c r="D243" s="17">
        <v>59000</v>
      </c>
      <c r="E243" s="17">
        <f t="shared" si="3"/>
        <v>118000</v>
      </c>
    </row>
    <row r="244" spans="1:5" x14ac:dyDescent="0.35">
      <c r="A244" s="13">
        <v>43210</v>
      </c>
      <c r="B244" s="5" t="s">
        <v>471</v>
      </c>
      <c r="C244" s="5">
        <v>2</v>
      </c>
      <c r="D244" s="17">
        <v>58000</v>
      </c>
      <c r="E244" s="17">
        <f t="shared" si="3"/>
        <v>116000</v>
      </c>
    </row>
    <row r="245" spans="1:5" x14ac:dyDescent="0.35">
      <c r="A245" s="13">
        <v>43210</v>
      </c>
      <c r="B245" s="5" t="s">
        <v>477</v>
      </c>
      <c r="C245" s="5">
        <v>6</v>
      </c>
      <c r="D245" s="17">
        <v>1500</v>
      </c>
      <c r="E245" s="17">
        <f t="shared" si="3"/>
        <v>9000</v>
      </c>
    </row>
    <row r="246" spans="1:5" x14ac:dyDescent="0.35">
      <c r="A246" s="13">
        <v>43210</v>
      </c>
      <c r="B246" s="5" t="s">
        <v>33</v>
      </c>
      <c r="C246" s="5">
        <v>1</v>
      </c>
      <c r="D246" s="17">
        <v>50000</v>
      </c>
      <c r="E246" s="17">
        <f t="shared" si="3"/>
        <v>50000</v>
      </c>
    </row>
    <row r="247" spans="1:5" x14ac:dyDescent="0.35">
      <c r="A247" s="13">
        <v>43211</v>
      </c>
      <c r="E247" s="17">
        <f t="shared" si="3"/>
        <v>0</v>
      </c>
    </row>
    <row r="248" spans="1:5" x14ac:dyDescent="0.35">
      <c r="A248" s="13">
        <v>43211</v>
      </c>
      <c r="B248" s="5" t="s">
        <v>478</v>
      </c>
      <c r="C248" s="5">
        <v>27</v>
      </c>
      <c r="D248" s="17">
        <v>57500</v>
      </c>
      <c r="E248" s="17">
        <f t="shared" si="3"/>
        <v>1552500</v>
      </c>
    </row>
    <row r="249" spans="1:5" x14ac:dyDescent="0.35">
      <c r="A249" s="13">
        <v>43211</v>
      </c>
      <c r="B249" s="5" t="s">
        <v>157</v>
      </c>
      <c r="C249" s="5">
        <v>12</v>
      </c>
      <c r="D249" s="17">
        <v>52500</v>
      </c>
      <c r="E249" s="17">
        <f t="shared" si="3"/>
        <v>630000</v>
      </c>
    </row>
    <row r="250" spans="1:5" x14ac:dyDescent="0.35">
      <c r="A250" s="13">
        <v>43211</v>
      </c>
      <c r="B250" s="5" t="s">
        <v>479</v>
      </c>
      <c r="C250" s="5">
        <v>7</v>
      </c>
      <c r="D250" s="17">
        <v>54000</v>
      </c>
      <c r="E250" s="17">
        <f t="shared" si="3"/>
        <v>378000</v>
      </c>
    </row>
    <row r="251" spans="1:5" x14ac:dyDescent="0.35">
      <c r="A251" s="13">
        <v>43211</v>
      </c>
      <c r="B251" s="5" t="s">
        <v>112</v>
      </c>
      <c r="C251" s="5">
        <v>2</v>
      </c>
      <c r="D251" s="17">
        <v>43000</v>
      </c>
      <c r="E251" s="17">
        <f t="shared" si="3"/>
        <v>86000</v>
      </c>
    </row>
    <row r="252" spans="1:5" x14ac:dyDescent="0.35">
      <c r="A252" s="13">
        <v>43211</v>
      </c>
      <c r="B252" s="5" t="s">
        <v>81</v>
      </c>
      <c r="C252" s="5">
        <v>7</v>
      </c>
      <c r="D252" s="17">
        <v>47000</v>
      </c>
      <c r="E252" s="17">
        <f t="shared" si="3"/>
        <v>329000</v>
      </c>
    </row>
    <row r="253" spans="1:5" x14ac:dyDescent="0.35">
      <c r="A253" s="13">
        <v>43211</v>
      </c>
      <c r="B253" s="5" t="s">
        <v>25</v>
      </c>
      <c r="C253" s="5">
        <v>3</v>
      </c>
      <c r="D253" s="17">
        <v>54000</v>
      </c>
      <c r="E253" s="17">
        <f t="shared" si="3"/>
        <v>162000</v>
      </c>
    </row>
    <row r="254" spans="1:5" x14ac:dyDescent="0.35">
      <c r="A254" s="13">
        <v>43213</v>
      </c>
      <c r="E254" s="17">
        <f t="shared" si="3"/>
        <v>0</v>
      </c>
    </row>
    <row r="255" spans="1:5" x14ac:dyDescent="0.35">
      <c r="A255" s="13">
        <v>43213</v>
      </c>
      <c r="B255" s="5" t="s">
        <v>352</v>
      </c>
      <c r="C255" s="5">
        <v>1</v>
      </c>
      <c r="D255" s="17">
        <v>47000</v>
      </c>
      <c r="E255" s="17">
        <f t="shared" si="3"/>
        <v>47000</v>
      </c>
    </row>
    <row r="256" spans="1:5" x14ac:dyDescent="0.35">
      <c r="A256" s="13">
        <v>43213</v>
      </c>
      <c r="B256" s="5" t="s">
        <v>72</v>
      </c>
      <c r="C256" s="5">
        <v>10</v>
      </c>
      <c r="D256" s="17">
        <v>47000</v>
      </c>
      <c r="E256" s="17">
        <f t="shared" si="3"/>
        <v>470000</v>
      </c>
    </row>
    <row r="257" spans="1:5" x14ac:dyDescent="0.35">
      <c r="A257" s="13">
        <v>43213</v>
      </c>
      <c r="B257" s="5" t="s">
        <v>480</v>
      </c>
      <c r="C257" s="5">
        <v>6</v>
      </c>
      <c r="D257" s="17">
        <v>48000</v>
      </c>
      <c r="E257" s="17">
        <f t="shared" si="3"/>
        <v>288000</v>
      </c>
    </row>
    <row r="258" spans="1:5" x14ac:dyDescent="0.35">
      <c r="A258" s="13">
        <v>43213</v>
      </c>
      <c r="B258" s="5" t="s">
        <v>24</v>
      </c>
      <c r="C258" s="5">
        <v>1</v>
      </c>
      <c r="D258" s="17">
        <v>58000</v>
      </c>
      <c r="E258" s="17">
        <f t="shared" si="3"/>
        <v>58000</v>
      </c>
    </row>
    <row r="259" spans="1:5" x14ac:dyDescent="0.35">
      <c r="A259" s="13">
        <v>43213</v>
      </c>
      <c r="B259" s="5" t="s">
        <v>471</v>
      </c>
      <c r="C259" s="5">
        <v>1</v>
      </c>
      <c r="D259" s="17">
        <v>56000</v>
      </c>
      <c r="E259" s="17">
        <f t="shared" si="3"/>
        <v>56000</v>
      </c>
    </row>
    <row r="260" spans="1:5" x14ac:dyDescent="0.35">
      <c r="A260" s="13">
        <v>43213</v>
      </c>
      <c r="B260" s="5" t="s">
        <v>125</v>
      </c>
      <c r="C260" s="5">
        <v>1</v>
      </c>
      <c r="D260" s="17">
        <v>38000</v>
      </c>
      <c r="E260" s="17">
        <f t="shared" ref="E260:E323" si="4">D260*C260</f>
        <v>38000</v>
      </c>
    </row>
    <row r="261" spans="1:5" x14ac:dyDescent="0.35">
      <c r="A261" s="13">
        <v>43213</v>
      </c>
      <c r="B261" s="5" t="s">
        <v>4</v>
      </c>
      <c r="C261" s="5">
        <v>1</v>
      </c>
      <c r="D261" s="17">
        <v>38000</v>
      </c>
      <c r="E261" s="17">
        <f t="shared" si="4"/>
        <v>38000</v>
      </c>
    </row>
    <row r="262" spans="1:5" x14ac:dyDescent="0.35">
      <c r="A262" s="13">
        <v>43213</v>
      </c>
      <c r="B262" s="5" t="s">
        <v>169</v>
      </c>
      <c r="C262" s="5">
        <v>5</v>
      </c>
      <c r="D262" s="17">
        <v>56000</v>
      </c>
      <c r="E262" s="17">
        <f t="shared" si="4"/>
        <v>280000</v>
      </c>
    </row>
    <row r="263" spans="1:5" x14ac:dyDescent="0.35">
      <c r="A263" s="13">
        <v>43213</v>
      </c>
      <c r="B263" s="5" t="s">
        <v>417</v>
      </c>
      <c r="C263" s="5">
        <v>1</v>
      </c>
      <c r="D263" s="17">
        <v>150000</v>
      </c>
      <c r="E263" s="17">
        <f t="shared" si="4"/>
        <v>150000</v>
      </c>
    </row>
    <row r="264" spans="1:5" x14ac:dyDescent="0.35">
      <c r="A264" s="13">
        <v>43213</v>
      </c>
      <c r="B264" s="5" t="s">
        <v>254</v>
      </c>
      <c r="C264" s="5">
        <v>4</v>
      </c>
      <c r="D264" s="17">
        <v>96000</v>
      </c>
      <c r="E264" s="17">
        <f t="shared" si="4"/>
        <v>384000</v>
      </c>
    </row>
    <row r="265" spans="1:5" x14ac:dyDescent="0.35">
      <c r="A265" s="13">
        <v>43213</v>
      </c>
      <c r="B265" s="5" t="s">
        <v>36</v>
      </c>
      <c r="C265" s="5">
        <v>7</v>
      </c>
      <c r="D265" s="17">
        <v>46000</v>
      </c>
      <c r="E265" s="17">
        <f t="shared" si="4"/>
        <v>322000</v>
      </c>
    </row>
    <row r="266" spans="1:5" x14ac:dyDescent="0.35">
      <c r="A266" s="13">
        <v>43213</v>
      </c>
      <c r="B266" s="5" t="s">
        <v>469</v>
      </c>
      <c r="C266" s="5">
        <v>100</v>
      </c>
      <c r="D266" s="17">
        <v>47000</v>
      </c>
      <c r="E266" s="17">
        <f t="shared" si="4"/>
        <v>4700000</v>
      </c>
    </row>
    <row r="267" spans="1:5" x14ac:dyDescent="0.35">
      <c r="A267" s="13">
        <v>43213</v>
      </c>
      <c r="B267" s="5" t="s">
        <v>4</v>
      </c>
      <c r="C267" s="5">
        <v>12</v>
      </c>
      <c r="D267" s="17">
        <v>38000</v>
      </c>
      <c r="E267" s="17">
        <f t="shared" si="4"/>
        <v>456000</v>
      </c>
    </row>
    <row r="268" spans="1:5" x14ac:dyDescent="0.35">
      <c r="A268" s="13">
        <v>43213</v>
      </c>
      <c r="B268" s="5" t="s">
        <v>324</v>
      </c>
      <c r="C268" s="5">
        <v>15</v>
      </c>
      <c r="D268" s="17">
        <v>47000</v>
      </c>
      <c r="E268" s="17">
        <f t="shared" si="4"/>
        <v>705000</v>
      </c>
    </row>
    <row r="269" spans="1:5" x14ac:dyDescent="0.35">
      <c r="A269" s="13">
        <v>43214</v>
      </c>
      <c r="E269" s="17">
        <f t="shared" si="4"/>
        <v>0</v>
      </c>
    </row>
    <row r="270" spans="1:5" x14ac:dyDescent="0.35">
      <c r="A270" s="13">
        <v>43214</v>
      </c>
      <c r="B270" s="5" t="s">
        <v>481</v>
      </c>
      <c r="C270" s="5">
        <v>1</v>
      </c>
      <c r="D270" s="17">
        <v>34500</v>
      </c>
      <c r="E270" s="17">
        <f t="shared" si="4"/>
        <v>34500</v>
      </c>
    </row>
    <row r="271" spans="1:5" x14ac:dyDescent="0.35">
      <c r="A271" s="13">
        <v>43214</v>
      </c>
      <c r="B271" s="5" t="s">
        <v>326</v>
      </c>
      <c r="C271" s="5">
        <v>11</v>
      </c>
      <c r="D271" s="17">
        <v>56000</v>
      </c>
      <c r="E271" s="17">
        <f t="shared" si="4"/>
        <v>616000</v>
      </c>
    </row>
    <row r="272" spans="1:5" x14ac:dyDescent="0.35">
      <c r="A272" s="13">
        <v>43214</v>
      </c>
      <c r="B272" s="5" t="s">
        <v>116</v>
      </c>
      <c r="C272" s="5">
        <v>4</v>
      </c>
      <c r="D272" s="17">
        <v>52000</v>
      </c>
      <c r="E272" s="17">
        <f t="shared" si="4"/>
        <v>208000</v>
      </c>
    </row>
    <row r="273" spans="1:5" x14ac:dyDescent="0.35">
      <c r="A273" s="13">
        <v>43214</v>
      </c>
      <c r="B273" s="5" t="s">
        <v>60</v>
      </c>
      <c r="C273" s="5">
        <v>21</v>
      </c>
      <c r="D273" s="17">
        <v>54000</v>
      </c>
      <c r="E273" s="17">
        <f t="shared" si="4"/>
        <v>1134000</v>
      </c>
    </row>
    <row r="274" spans="1:5" x14ac:dyDescent="0.35">
      <c r="A274" s="13">
        <v>43214</v>
      </c>
      <c r="B274" s="5" t="s">
        <v>482</v>
      </c>
      <c r="C274" s="5">
        <v>3</v>
      </c>
      <c r="D274" s="17">
        <v>50000</v>
      </c>
      <c r="E274" s="17">
        <f t="shared" si="4"/>
        <v>150000</v>
      </c>
    </row>
    <row r="275" spans="1:5" x14ac:dyDescent="0.35">
      <c r="A275" s="13">
        <v>43214</v>
      </c>
      <c r="B275" s="5" t="s">
        <v>95</v>
      </c>
      <c r="C275" s="5">
        <v>5</v>
      </c>
      <c r="D275" s="17">
        <v>50000</v>
      </c>
      <c r="E275" s="17">
        <f t="shared" si="4"/>
        <v>250000</v>
      </c>
    </row>
    <row r="276" spans="1:5" x14ac:dyDescent="0.35">
      <c r="A276" s="13">
        <v>43214</v>
      </c>
      <c r="B276" s="5" t="s">
        <v>34</v>
      </c>
      <c r="C276" s="5">
        <v>2</v>
      </c>
      <c r="D276" s="17">
        <v>48000</v>
      </c>
      <c r="E276" s="17">
        <f t="shared" si="4"/>
        <v>96000</v>
      </c>
    </row>
    <row r="277" spans="1:5" x14ac:dyDescent="0.35">
      <c r="A277" s="13">
        <v>43214</v>
      </c>
      <c r="B277" s="5" t="s">
        <v>60</v>
      </c>
      <c r="C277" s="5">
        <v>5</v>
      </c>
      <c r="D277" s="17">
        <v>54000</v>
      </c>
      <c r="E277" s="17">
        <f t="shared" si="4"/>
        <v>270000</v>
      </c>
    </row>
    <row r="278" spans="1:5" x14ac:dyDescent="0.35">
      <c r="A278" s="13">
        <v>43214</v>
      </c>
      <c r="B278" s="5" t="s">
        <v>34</v>
      </c>
      <c r="C278" s="5">
        <v>50</v>
      </c>
      <c r="D278" s="17">
        <v>43000</v>
      </c>
      <c r="E278" s="17">
        <f t="shared" si="4"/>
        <v>2150000</v>
      </c>
    </row>
    <row r="279" spans="1:5" x14ac:dyDescent="0.35">
      <c r="A279" s="13">
        <v>43214</v>
      </c>
      <c r="B279" s="5" t="s">
        <v>201</v>
      </c>
      <c r="C279" s="5">
        <v>7</v>
      </c>
      <c r="D279" s="17">
        <v>44000</v>
      </c>
      <c r="E279" s="17">
        <f t="shared" si="4"/>
        <v>308000</v>
      </c>
    </row>
    <row r="280" spans="1:5" x14ac:dyDescent="0.35">
      <c r="A280" s="13">
        <v>43214</v>
      </c>
      <c r="B280" s="5" t="s">
        <v>181</v>
      </c>
      <c r="C280" s="5">
        <v>2</v>
      </c>
      <c r="D280" s="17">
        <v>44000</v>
      </c>
      <c r="E280" s="17">
        <f t="shared" si="4"/>
        <v>88000</v>
      </c>
    </row>
    <row r="281" spans="1:5" x14ac:dyDescent="0.35">
      <c r="A281" s="13">
        <v>43214</v>
      </c>
      <c r="B281" s="5" t="s">
        <v>68</v>
      </c>
      <c r="C281" s="5">
        <v>1</v>
      </c>
      <c r="D281" s="17">
        <v>15000</v>
      </c>
      <c r="E281" s="17">
        <f t="shared" si="4"/>
        <v>15000</v>
      </c>
    </row>
    <row r="282" spans="1:5" x14ac:dyDescent="0.35">
      <c r="A282" s="13">
        <v>43214</v>
      </c>
      <c r="B282" s="5" t="s">
        <v>318</v>
      </c>
      <c r="C282" s="5">
        <v>50</v>
      </c>
      <c r="D282" s="17">
        <v>45000</v>
      </c>
      <c r="E282" s="17">
        <f t="shared" si="4"/>
        <v>2250000</v>
      </c>
    </row>
    <row r="283" spans="1:5" x14ac:dyDescent="0.35">
      <c r="A283" s="13">
        <v>43214</v>
      </c>
      <c r="B283" s="5" t="s">
        <v>424</v>
      </c>
      <c r="C283" s="5">
        <v>12</v>
      </c>
      <c r="D283" s="17">
        <v>46000</v>
      </c>
      <c r="E283" s="17">
        <f t="shared" si="4"/>
        <v>552000</v>
      </c>
    </row>
    <row r="284" spans="1:5" x14ac:dyDescent="0.35">
      <c r="A284" s="13">
        <v>43215</v>
      </c>
      <c r="E284" s="17">
        <f t="shared" si="4"/>
        <v>0</v>
      </c>
    </row>
    <row r="285" spans="1:5" x14ac:dyDescent="0.35">
      <c r="A285" s="13">
        <v>43215</v>
      </c>
      <c r="B285" s="5" t="s">
        <v>4</v>
      </c>
      <c r="C285" s="5">
        <v>2</v>
      </c>
      <c r="D285" s="17">
        <v>39000</v>
      </c>
      <c r="E285" s="17">
        <f t="shared" si="4"/>
        <v>78000</v>
      </c>
    </row>
    <row r="286" spans="1:5" x14ac:dyDescent="0.35">
      <c r="A286" s="13">
        <v>43215</v>
      </c>
      <c r="B286" s="5" t="s">
        <v>168</v>
      </c>
      <c r="C286" s="5">
        <v>40</v>
      </c>
      <c r="D286" s="17">
        <v>1600</v>
      </c>
      <c r="E286" s="17">
        <f t="shared" si="4"/>
        <v>64000</v>
      </c>
    </row>
    <row r="287" spans="1:5" x14ac:dyDescent="0.35">
      <c r="A287" s="13">
        <v>43215</v>
      </c>
      <c r="B287" s="5" t="s">
        <v>485</v>
      </c>
      <c r="C287" s="5">
        <v>13</v>
      </c>
      <c r="D287" s="17">
        <v>2000</v>
      </c>
      <c r="E287" s="17">
        <f t="shared" si="4"/>
        <v>26000</v>
      </c>
    </row>
    <row r="288" spans="1:5" x14ac:dyDescent="0.35">
      <c r="A288" s="13">
        <v>43215</v>
      </c>
      <c r="B288" s="5" t="s">
        <v>4</v>
      </c>
      <c r="C288" s="5">
        <v>20</v>
      </c>
      <c r="D288" s="17">
        <v>39000</v>
      </c>
      <c r="E288" s="17">
        <f t="shared" si="4"/>
        <v>780000</v>
      </c>
    </row>
    <row r="289" spans="1:5" x14ac:dyDescent="0.35">
      <c r="A289" s="13">
        <v>43215</v>
      </c>
      <c r="B289" s="5" t="s">
        <v>137</v>
      </c>
      <c r="C289" s="5">
        <v>4</v>
      </c>
      <c r="D289" s="17">
        <v>56000</v>
      </c>
      <c r="E289" s="17">
        <f t="shared" si="4"/>
        <v>224000</v>
      </c>
    </row>
    <row r="290" spans="1:5" x14ac:dyDescent="0.35">
      <c r="A290" s="13">
        <v>43215</v>
      </c>
      <c r="B290" s="5" t="s">
        <v>404</v>
      </c>
      <c r="C290" s="5">
        <v>6</v>
      </c>
      <c r="D290" s="17">
        <v>48000</v>
      </c>
      <c r="E290" s="17">
        <f t="shared" si="4"/>
        <v>288000</v>
      </c>
    </row>
    <row r="291" spans="1:5" x14ac:dyDescent="0.35">
      <c r="A291" s="13">
        <v>43215</v>
      </c>
      <c r="B291" s="5" t="s">
        <v>248</v>
      </c>
      <c r="C291" s="5">
        <v>5</v>
      </c>
      <c r="D291" s="17">
        <v>57000</v>
      </c>
      <c r="E291" s="17">
        <f t="shared" si="4"/>
        <v>285000</v>
      </c>
    </row>
    <row r="292" spans="1:5" x14ac:dyDescent="0.35">
      <c r="A292" s="13">
        <v>43215</v>
      </c>
      <c r="B292" s="5" t="s">
        <v>484</v>
      </c>
      <c r="C292" s="5">
        <v>30</v>
      </c>
      <c r="D292" s="17">
        <v>8000</v>
      </c>
      <c r="E292" s="17">
        <f t="shared" si="4"/>
        <v>240000</v>
      </c>
    </row>
    <row r="293" spans="1:5" x14ac:dyDescent="0.35">
      <c r="A293" s="13">
        <v>43215</v>
      </c>
      <c r="B293" s="5" t="s">
        <v>168</v>
      </c>
      <c r="C293" s="5">
        <v>16</v>
      </c>
      <c r="D293" s="17">
        <v>1600</v>
      </c>
      <c r="E293" s="17">
        <f t="shared" si="4"/>
        <v>25600</v>
      </c>
    </row>
    <row r="294" spans="1:5" x14ac:dyDescent="0.35">
      <c r="A294" s="13">
        <v>43215</v>
      </c>
      <c r="B294" s="5" t="s">
        <v>321</v>
      </c>
      <c r="C294" s="5">
        <v>42</v>
      </c>
      <c r="D294" s="17">
        <v>52000</v>
      </c>
      <c r="E294" s="17">
        <f t="shared" si="4"/>
        <v>2184000</v>
      </c>
    </row>
    <row r="295" spans="1:5" x14ac:dyDescent="0.35">
      <c r="A295" s="13">
        <v>43215</v>
      </c>
      <c r="B295" s="5" t="s">
        <v>191</v>
      </c>
      <c r="C295" s="5">
        <v>8</v>
      </c>
      <c r="D295" s="17">
        <v>47000</v>
      </c>
      <c r="E295" s="17">
        <f t="shared" si="4"/>
        <v>376000</v>
      </c>
    </row>
    <row r="296" spans="1:5" x14ac:dyDescent="0.35">
      <c r="A296" s="13">
        <v>43215</v>
      </c>
      <c r="B296" s="5" t="s">
        <v>404</v>
      </c>
      <c r="C296" s="5">
        <v>19</v>
      </c>
      <c r="D296" s="17">
        <v>48000</v>
      </c>
      <c r="E296" s="17">
        <f t="shared" si="4"/>
        <v>912000</v>
      </c>
    </row>
    <row r="297" spans="1:5" x14ac:dyDescent="0.35">
      <c r="A297" s="13">
        <v>43215</v>
      </c>
      <c r="B297" s="5" t="s">
        <v>152</v>
      </c>
      <c r="C297" s="5">
        <v>9</v>
      </c>
      <c r="D297" s="17">
        <v>56500</v>
      </c>
      <c r="E297" s="17">
        <f t="shared" si="4"/>
        <v>508500</v>
      </c>
    </row>
    <row r="298" spans="1:5" x14ac:dyDescent="0.35">
      <c r="A298" s="13">
        <v>43215</v>
      </c>
      <c r="B298" s="5" t="s">
        <v>483</v>
      </c>
      <c r="C298" s="5">
        <v>3</v>
      </c>
      <c r="D298" s="17">
        <v>53000</v>
      </c>
      <c r="E298" s="17">
        <f t="shared" si="4"/>
        <v>159000</v>
      </c>
    </row>
    <row r="299" spans="1:5" x14ac:dyDescent="0.35">
      <c r="A299" s="13">
        <v>43215</v>
      </c>
      <c r="B299" s="5" t="s">
        <v>24</v>
      </c>
      <c r="C299" s="5">
        <v>2</v>
      </c>
      <c r="D299" s="17">
        <v>58000</v>
      </c>
      <c r="E299" s="17">
        <f t="shared" si="4"/>
        <v>116000</v>
      </c>
    </row>
    <row r="300" spans="1:5" x14ac:dyDescent="0.35">
      <c r="A300" s="13">
        <v>43216</v>
      </c>
      <c r="E300" s="17">
        <f t="shared" si="4"/>
        <v>0</v>
      </c>
    </row>
    <row r="301" spans="1:5" x14ac:dyDescent="0.35">
      <c r="A301" s="13">
        <v>43216</v>
      </c>
      <c r="B301" s="5" t="s">
        <v>326</v>
      </c>
      <c r="C301" s="5">
        <v>2</v>
      </c>
      <c r="D301" s="17">
        <v>56000</v>
      </c>
      <c r="E301" s="17">
        <f t="shared" si="4"/>
        <v>112000</v>
      </c>
    </row>
    <row r="302" spans="1:5" x14ac:dyDescent="0.35">
      <c r="A302" s="13">
        <v>43216</v>
      </c>
      <c r="B302" s="5" t="s">
        <v>459</v>
      </c>
      <c r="C302" s="5">
        <v>13</v>
      </c>
      <c r="D302" s="17">
        <v>45000</v>
      </c>
      <c r="E302" s="17">
        <f t="shared" si="4"/>
        <v>585000</v>
      </c>
    </row>
    <row r="303" spans="1:5" x14ac:dyDescent="0.35">
      <c r="A303" s="13">
        <v>43216</v>
      </c>
      <c r="B303" s="5" t="s">
        <v>396</v>
      </c>
      <c r="C303" s="5">
        <v>1</v>
      </c>
      <c r="D303" s="17">
        <v>50000</v>
      </c>
      <c r="E303" s="17">
        <f t="shared" si="4"/>
        <v>50000</v>
      </c>
    </row>
    <row r="304" spans="1:5" x14ac:dyDescent="0.35">
      <c r="A304" s="13">
        <v>43216</v>
      </c>
      <c r="B304" s="5" t="s">
        <v>237</v>
      </c>
      <c r="C304" s="5">
        <v>1</v>
      </c>
      <c r="D304" s="17">
        <v>56000</v>
      </c>
      <c r="E304" s="17">
        <f t="shared" si="4"/>
        <v>56000</v>
      </c>
    </row>
    <row r="305" spans="1:5" x14ac:dyDescent="0.35">
      <c r="A305" s="13">
        <v>43216</v>
      </c>
      <c r="B305" s="5" t="s">
        <v>156</v>
      </c>
      <c r="C305" s="5">
        <v>2</v>
      </c>
      <c r="D305" s="17">
        <v>48000</v>
      </c>
      <c r="E305" s="17">
        <f t="shared" si="4"/>
        <v>96000</v>
      </c>
    </row>
    <row r="306" spans="1:5" x14ac:dyDescent="0.35">
      <c r="A306" s="13">
        <v>43216</v>
      </c>
      <c r="B306" s="5" t="s">
        <v>34</v>
      </c>
      <c r="C306" s="5">
        <v>2</v>
      </c>
      <c r="D306" s="17">
        <v>48000</v>
      </c>
      <c r="E306" s="17">
        <f t="shared" si="4"/>
        <v>96000</v>
      </c>
    </row>
    <row r="307" spans="1:5" x14ac:dyDescent="0.35">
      <c r="A307" s="13">
        <v>43216</v>
      </c>
      <c r="B307" s="5" t="s">
        <v>487</v>
      </c>
      <c r="C307" s="5">
        <v>25</v>
      </c>
      <c r="D307" s="17">
        <v>8000</v>
      </c>
      <c r="E307" s="17">
        <f t="shared" si="4"/>
        <v>200000</v>
      </c>
    </row>
    <row r="308" spans="1:5" x14ac:dyDescent="0.35">
      <c r="A308" s="13">
        <v>43216</v>
      </c>
      <c r="B308" s="5" t="s">
        <v>488</v>
      </c>
      <c r="C308" s="5">
        <v>1</v>
      </c>
      <c r="E308" s="17">
        <f t="shared" si="4"/>
        <v>0</v>
      </c>
    </row>
    <row r="309" spans="1:5" x14ac:dyDescent="0.35">
      <c r="A309" s="13">
        <v>43216</v>
      </c>
      <c r="B309" s="5" t="s">
        <v>489</v>
      </c>
      <c r="C309" s="5">
        <v>2</v>
      </c>
      <c r="D309" s="17">
        <v>50000</v>
      </c>
      <c r="E309" s="17">
        <f t="shared" si="4"/>
        <v>100000</v>
      </c>
    </row>
    <row r="310" spans="1:5" x14ac:dyDescent="0.35">
      <c r="A310" s="13">
        <v>43216</v>
      </c>
      <c r="B310" s="5" t="s">
        <v>480</v>
      </c>
      <c r="C310" s="5">
        <v>6</v>
      </c>
      <c r="D310" s="17">
        <v>47000</v>
      </c>
      <c r="E310" s="17">
        <f t="shared" si="4"/>
        <v>282000</v>
      </c>
    </row>
    <row r="311" spans="1:5" x14ac:dyDescent="0.35">
      <c r="A311" s="13">
        <v>43216</v>
      </c>
      <c r="B311" s="5" t="s">
        <v>183</v>
      </c>
      <c r="C311" s="5">
        <v>6</v>
      </c>
      <c r="D311" s="17">
        <v>28000</v>
      </c>
      <c r="E311" s="17">
        <f t="shared" si="4"/>
        <v>168000</v>
      </c>
    </row>
    <row r="312" spans="1:5" x14ac:dyDescent="0.35">
      <c r="A312" s="13">
        <v>43216</v>
      </c>
      <c r="B312" s="5" t="s">
        <v>318</v>
      </c>
      <c r="C312" s="5">
        <v>8</v>
      </c>
      <c r="D312" s="17">
        <v>45000</v>
      </c>
      <c r="E312" s="17">
        <f t="shared" si="4"/>
        <v>360000</v>
      </c>
    </row>
    <row r="313" spans="1:5" x14ac:dyDescent="0.35">
      <c r="A313" s="13">
        <v>43216</v>
      </c>
      <c r="B313" s="5" t="s">
        <v>490</v>
      </c>
      <c r="C313" s="5">
        <v>8</v>
      </c>
      <c r="D313" s="17">
        <v>58000</v>
      </c>
      <c r="E313" s="17">
        <f t="shared" si="4"/>
        <v>464000</v>
      </c>
    </row>
    <row r="314" spans="1:5" x14ac:dyDescent="0.35">
      <c r="A314" s="13">
        <v>43217</v>
      </c>
      <c r="E314" s="17">
        <f t="shared" si="4"/>
        <v>0</v>
      </c>
    </row>
    <row r="315" spans="1:5" x14ac:dyDescent="0.35">
      <c r="A315" s="13">
        <v>43217</v>
      </c>
      <c r="B315" s="5" t="s">
        <v>4</v>
      </c>
      <c r="C315" s="5">
        <v>6</v>
      </c>
      <c r="D315" s="17">
        <v>39000</v>
      </c>
      <c r="E315" s="17">
        <f t="shared" si="4"/>
        <v>234000</v>
      </c>
    </row>
    <row r="316" spans="1:5" x14ac:dyDescent="0.35">
      <c r="A316" s="13">
        <v>43217</v>
      </c>
      <c r="B316" s="5" t="s">
        <v>321</v>
      </c>
      <c r="C316" s="5">
        <v>8</v>
      </c>
      <c r="D316" s="17">
        <v>53000</v>
      </c>
      <c r="E316" s="17">
        <f t="shared" si="4"/>
        <v>424000</v>
      </c>
    </row>
    <row r="317" spans="1:5" x14ac:dyDescent="0.35">
      <c r="A317" s="13">
        <v>43217</v>
      </c>
      <c r="B317" s="5" t="s">
        <v>191</v>
      </c>
      <c r="C317" s="5">
        <v>23</v>
      </c>
      <c r="D317" s="17">
        <v>47000</v>
      </c>
      <c r="E317" s="17">
        <f t="shared" si="4"/>
        <v>1081000</v>
      </c>
    </row>
    <row r="318" spans="1:5" x14ac:dyDescent="0.35">
      <c r="A318" s="13">
        <v>43217</v>
      </c>
      <c r="B318" s="5" t="s">
        <v>491</v>
      </c>
      <c r="C318" s="5">
        <v>20</v>
      </c>
      <c r="D318" s="17">
        <v>53000</v>
      </c>
      <c r="E318" s="17">
        <f t="shared" si="4"/>
        <v>1060000</v>
      </c>
    </row>
    <row r="319" spans="1:5" x14ac:dyDescent="0.35">
      <c r="A319" s="13">
        <v>43217</v>
      </c>
      <c r="B319" s="5" t="s">
        <v>160</v>
      </c>
      <c r="C319" s="5">
        <v>23</v>
      </c>
      <c r="D319" s="17">
        <v>55500</v>
      </c>
      <c r="E319" s="17">
        <f t="shared" si="4"/>
        <v>1276500</v>
      </c>
    </row>
    <row r="320" spans="1:5" x14ac:dyDescent="0.35">
      <c r="A320" s="13">
        <v>43217</v>
      </c>
      <c r="B320" s="5" t="s">
        <v>38</v>
      </c>
      <c r="C320" s="5">
        <v>7</v>
      </c>
      <c r="D320" s="17">
        <v>49000</v>
      </c>
      <c r="E320" s="17">
        <f t="shared" si="4"/>
        <v>343000</v>
      </c>
    </row>
    <row r="321" spans="1:5" x14ac:dyDescent="0.35">
      <c r="A321" s="13">
        <v>43217</v>
      </c>
      <c r="B321" s="5" t="s">
        <v>334</v>
      </c>
      <c r="C321" s="5">
        <v>1</v>
      </c>
      <c r="D321" s="17">
        <v>38000</v>
      </c>
      <c r="E321" s="17">
        <f t="shared" si="4"/>
        <v>38000</v>
      </c>
    </row>
    <row r="322" spans="1:5" x14ac:dyDescent="0.35">
      <c r="A322" s="13">
        <v>43217</v>
      </c>
      <c r="B322" s="5" t="s">
        <v>307</v>
      </c>
      <c r="C322" s="5">
        <v>55</v>
      </c>
      <c r="D322" s="17">
        <v>8000</v>
      </c>
      <c r="E322" s="17">
        <f t="shared" si="4"/>
        <v>440000</v>
      </c>
    </row>
    <row r="323" spans="1:5" x14ac:dyDescent="0.35">
      <c r="A323" s="13">
        <v>43217</v>
      </c>
      <c r="B323" s="5" t="s">
        <v>391</v>
      </c>
      <c r="C323" s="5">
        <v>7</v>
      </c>
      <c r="D323" s="17">
        <v>50000</v>
      </c>
      <c r="E323" s="17">
        <f t="shared" si="4"/>
        <v>350000</v>
      </c>
    </row>
    <row r="324" spans="1:5" x14ac:dyDescent="0.35">
      <c r="A324" s="13">
        <v>43217</v>
      </c>
      <c r="B324" s="5" t="s">
        <v>102</v>
      </c>
      <c r="C324" s="5">
        <v>1</v>
      </c>
      <c r="D324" s="17">
        <v>15000</v>
      </c>
      <c r="E324" s="17">
        <f t="shared" ref="E324:E347" si="5">D324*C324</f>
        <v>15000</v>
      </c>
    </row>
    <row r="325" spans="1:5" x14ac:dyDescent="0.35">
      <c r="A325" s="13">
        <v>43217</v>
      </c>
      <c r="B325" s="5" t="s">
        <v>156</v>
      </c>
      <c r="C325" s="5">
        <v>1</v>
      </c>
      <c r="D325" s="17">
        <v>48000</v>
      </c>
      <c r="E325" s="17">
        <f t="shared" si="5"/>
        <v>48000</v>
      </c>
    </row>
    <row r="326" spans="1:5" x14ac:dyDescent="0.35">
      <c r="A326" s="13">
        <v>43217</v>
      </c>
      <c r="B326" s="5" t="s">
        <v>72</v>
      </c>
      <c r="C326" s="5">
        <v>2</v>
      </c>
      <c r="D326" s="17">
        <v>47000</v>
      </c>
      <c r="E326" s="17">
        <f t="shared" si="5"/>
        <v>94000</v>
      </c>
    </row>
    <row r="327" spans="1:5" x14ac:dyDescent="0.35">
      <c r="A327" s="13">
        <v>43217</v>
      </c>
      <c r="B327" s="5" t="s">
        <v>492</v>
      </c>
      <c r="C327" s="5">
        <v>1</v>
      </c>
      <c r="D327" s="17">
        <v>3500</v>
      </c>
      <c r="E327" s="17">
        <f t="shared" si="5"/>
        <v>3500</v>
      </c>
    </row>
    <row r="328" spans="1:5" x14ac:dyDescent="0.35">
      <c r="A328" s="13">
        <v>43217</v>
      </c>
      <c r="B328" s="5" t="s">
        <v>92</v>
      </c>
      <c r="C328" s="5">
        <v>2</v>
      </c>
      <c r="D328" s="17">
        <v>1600</v>
      </c>
      <c r="E328" s="17">
        <f t="shared" si="5"/>
        <v>3200</v>
      </c>
    </row>
    <row r="329" spans="1:5" x14ac:dyDescent="0.35">
      <c r="A329" s="13">
        <v>43217</v>
      </c>
      <c r="B329" s="5" t="s">
        <v>34</v>
      </c>
      <c r="C329" s="5">
        <v>14</v>
      </c>
      <c r="D329" s="17">
        <v>48000</v>
      </c>
      <c r="E329" s="17">
        <f t="shared" si="5"/>
        <v>672000</v>
      </c>
    </row>
    <row r="330" spans="1:5" x14ac:dyDescent="0.35">
      <c r="A330" s="13">
        <v>43218</v>
      </c>
      <c r="E330" s="17">
        <f t="shared" si="5"/>
        <v>0</v>
      </c>
    </row>
    <row r="331" spans="1:5" x14ac:dyDescent="0.35">
      <c r="A331" s="13">
        <v>43218</v>
      </c>
      <c r="B331" s="5" t="s">
        <v>168</v>
      </c>
      <c r="C331" s="5">
        <v>20</v>
      </c>
      <c r="D331" s="17">
        <v>1500</v>
      </c>
      <c r="E331" s="17">
        <f t="shared" si="5"/>
        <v>30000</v>
      </c>
    </row>
    <row r="332" spans="1:5" x14ac:dyDescent="0.35">
      <c r="A332" s="13">
        <v>43218</v>
      </c>
      <c r="B332" s="5" t="s">
        <v>276</v>
      </c>
      <c r="C332" s="5">
        <v>2</v>
      </c>
      <c r="D332" s="17">
        <v>58000</v>
      </c>
      <c r="E332" s="17">
        <f t="shared" si="5"/>
        <v>116000</v>
      </c>
    </row>
    <row r="333" spans="1:5" x14ac:dyDescent="0.35">
      <c r="A333" s="13">
        <v>43218</v>
      </c>
      <c r="B333" s="5" t="s">
        <v>493</v>
      </c>
      <c r="C333" s="5">
        <v>3</v>
      </c>
      <c r="D333" s="17">
        <v>44000</v>
      </c>
      <c r="E333" s="17">
        <f t="shared" si="5"/>
        <v>132000</v>
      </c>
    </row>
    <row r="334" spans="1:5" x14ac:dyDescent="0.35">
      <c r="A334" s="13">
        <v>43218</v>
      </c>
      <c r="B334" s="5" t="s">
        <v>494</v>
      </c>
      <c r="C334" s="5">
        <v>2</v>
      </c>
      <c r="D334" s="17">
        <v>50000</v>
      </c>
      <c r="E334" s="17">
        <f t="shared" si="5"/>
        <v>100000</v>
      </c>
    </row>
    <row r="335" spans="1:5" x14ac:dyDescent="0.35">
      <c r="A335" s="13">
        <v>43218</v>
      </c>
      <c r="B335" s="5" t="s">
        <v>489</v>
      </c>
      <c r="C335" s="5">
        <v>1</v>
      </c>
      <c r="D335" s="17">
        <v>50000</v>
      </c>
      <c r="E335" s="17">
        <f t="shared" si="5"/>
        <v>50000</v>
      </c>
    </row>
    <row r="336" spans="1:5" x14ac:dyDescent="0.35">
      <c r="A336" s="13">
        <v>43218</v>
      </c>
      <c r="B336" s="5" t="s">
        <v>495</v>
      </c>
      <c r="C336" s="5">
        <v>1</v>
      </c>
      <c r="D336" s="17">
        <v>13000</v>
      </c>
      <c r="E336" s="17">
        <f t="shared" si="5"/>
        <v>13000</v>
      </c>
    </row>
    <row r="337" spans="1:5" x14ac:dyDescent="0.35">
      <c r="A337" s="13">
        <v>43218</v>
      </c>
      <c r="B337" s="5" t="s">
        <v>404</v>
      </c>
      <c r="C337" s="5">
        <v>1</v>
      </c>
      <c r="D337" s="17">
        <v>48000</v>
      </c>
      <c r="E337" s="17">
        <f t="shared" si="5"/>
        <v>48000</v>
      </c>
    </row>
    <row r="338" spans="1:5" x14ac:dyDescent="0.35">
      <c r="A338" s="13">
        <v>43218</v>
      </c>
      <c r="B338" s="5" t="s">
        <v>168</v>
      </c>
      <c r="C338" s="5">
        <v>15</v>
      </c>
      <c r="D338" s="17">
        <v>1600</v>
      </c>
      <c r="E338" s="17">
        <f t="shared" si="5"/>
        <v>24000</v>
      </c>
    </row>
    <row r="339" spans="1:5" x14ac:dyDescent="0.35">
      <c r="A339" s="13">
        <v>43218</v>
      </c>
      <c r="B339" s="5" t="s">
        <v>12</v>
      </c>
      <c r="C339" s="5">
        <v>3</v>
      </c>
      <c r="D339" s="17">
        <v>53000</v>
      </c>
      <c r="E339" s="17">
        <f t="shared" si="5"/>
        <v>159000</v>
      </c>
    </row>
    <row r="340" spans="1:5" x14ac:dyDescent="0.35">
      <c r="A340" s="13">
        <v>43220</v>
      </c>
      <c r="E340" s="17">
        <f t="shared" si="5"/>
        <v>0</v>
      </c>
    </row>
    <row r="341" spans="1:5" x14ac:dyDescent="0.35">
      <c r="A341" s="13">
        <v>43220</v>
      </c>
      <c r="B341" s="5" t="s">
        <v>49</v>
      </c>
      <c r="C341" s="5">
        <v>1</v>
      </c>
      <c r="D341" s="17">
        <v>35000</v>
      </c>
      <c r="E341" s="17">
        <f t="shared" si="5"/>
        <v>35000</v>
      </c>
    </row>
    <row r="342" spans="1:5" x14ac:dyDescent="0.35">
      <c r="A342" s="13">
        <v>43220</v>
      </c>
      <c r="B342" s="5" t="s">
        <v>92</v>
      </c>
      <c r="C342" s="5">
        <v>12</v>
      </c>
      <c r="D342" s="17">
        <v>1600</v>
      </c>
      <c r="E342" s="17">
        <f t="shared" si="5"/>
        <v>19200</v>
      </c>
    </row>
    <row r="343" spans="1:5" x14ac:dyDescent="0.35">
      <c r="A343" s="13">
        <v>43220</v>
      </c>
      <c r="B343" s="5" t="s">
        <v>496</v>
      </c>
      <c r="C343" s="5">
        <v>47</v>
      </c>
      <c r="D343" s="17">
        <v>2000</v>
      </c>
      <c r="E343" s="17">
        <f t="shared" si="5"/>
        <v>94000</v>
      </c>
    </row>
    <row r="344" spans="1:5" x14ac:dyDescent="0.35">
      <c r="A344" s="13">
        <v>43220</v>
      </c>
      <c r="B344" s="5" t="s">
        <v>301</v>
      </c>
      <c r="C344" s="5">
        <v>6</v>
      </c>
      <c r="D344" s="17">
        <v>50000</v>
      </c>
      <c r="E344" s="17">
        <f t="shared" si="5"/>
        <v>300000</v>
      </c>
    </row>
    <row r="345" spans="1:5" x14ac:dyDescent="0.35">
      <c r="A345" s="13">
        <v>43220</v>
      </c>
      <c r="B345" s="5" t="s">
        <v>497</v>
      </c>
      <c r="C345" s="5">
        <v>1</v>
      </c>
      <c r="D345" s="17">
        <v>59000</v>
      </c>
      <c r="E345" s="17">
        <f t="shared" si="5"/>
        <v>59000</v>
      </c>
    </row>
    <row r="346" spans="1:5" x14ac:dyDescent="0.35">
      <c r="A346" s="13">
        <v>43220</v>
      </c>
      <c r="B346" s="5" t="s">
        <v>498</v>
      </c>
      <c r="C346" s="5">
        <v>15</v>
      </c>
      <c r="D346" s="17">
        <v>58000</v>
      </c>
      <c r="E346" s="17">
        <f t="shared" si="5"/>
        <v>870000</v>
      </c>
    </row>
    <row r="347" spans="1:5" x14ac:dyDescent="0.35">
      <c r="A347" s="13">
        <v>43220</v>
      </c>
      <c r="B347" s="5" t="s">
        <v>3</v>
      </c>
      <c r="C347" s="5">
        <v>2</v>
      </c>
      <c r="D347" s="17">
        <v>56000</v>
      </c>
      <c r="E347" s="17">
        <f t="shared" si="5"/>
        <v>112000</v>
      </c>
    </row>
    <row r="350" spans="1:5" x14ac:dyDescent="0.35">
      <c r="D350" s="17" t="s">
        <v>213</v>
      </c>
    </row>
  </sheetData>
  <pageMargins left="0.7" right="0.7" top="0.75" bottom="0.75" header="0.3" footer="0.3"/>
  <pageSetup orientation="portrait" horizontalDpi="4294967294" verticalDpi="4294967294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23"/>
  <sheetViews>
    <sheetView zoomScale="97" workbookViewId="0">
      <selection activeCell="F32" sqref="F32"/>
    </sheetView>
  </sheetViews>
  <sheetFormatPr defaultRowHeight="15.5" x14ac:dyDescent="0.35"/>
  <cols>
    <col min="1" max="1" width="14.83203125" style="13" customWidth="1"/>
    <col min="2" max="2" width="36.08203125" style="5" customWidth="1"/>
    <col min="3" max="3" width="14.9140625" style="5" customWidth="1"/>
    <col min="4" max="4" width="14.33203125" style="17" customWidth="1"/>
    <col min="5" max="5" width="15.75" style="17" customWidth="1"/>
    <col min="6" max="6" width="13.4140625" style="13" customWidth="1"/>
    <col min="7" max="7" width="9.6640625" style="5" customWidth="1"/>
    <col min="8" max="8" width="17.58203125" style="17" customWidth="1"/>
  </cols>
  <sheetData>
    <row r="1" spans="1:8" x14ac:dyDescent="0.35">
      <c r="A1" s="13" t="s">
        <v>834</v>
      </c>
      <c r="B1" s="5" t="s">
        <v>835</v>
      </c>
      <c r="C1" s="5" t="s">
        <v>836</v>
      </c>
      <c r="D1" s="17" t="s">
        <v>837</v>
      </c>
      <c r="E1" s="14" t="s">
        <v>838</v>
      </c>
      <c r="F1" s="13" t="s">
        <v>839</v>
      </c>
      <c r="G1" s="5" t="s">
        <v>840</v>
      </c>
      <c r="H1" s="17" t="s">
        <v>841</v>
      </c>
    </row>
    <row r="2" spans="1:8" x14ac:dyDescent="0.35">
      <c r="A2" s="13">
        <v>43283</v>
      </c>
    </row>
    <row r="3" spans="1:8" x14ac:dyDescent="0.35">
      <c r="A3" s="13">
        <v>43283</v>
      </c>
      <c r="B3" s="5" t="s">
        <v>25</v>
      </c>
      <c r="C3" s="5">
        <v>3</v>
      </c>
      <c r="D3" s="17">
        <v>53000</v>
      </c>
      <c r="E3" s="17">
        <f>D3*C3</f>
        <v>159000</v>
      </c>
      <c r="F3" s="13">
        <v>43288</v>
      </c>
      <c r="G3" s="5" t="s">
        <v>77</v>
      </c>
      <c r="H3" s="17">
        <v>325000</v>
      </c>
    </row>
    <row r="4" spans="1:8" x14ac:dyDescent="0.35">
      <c r="A4" s="13">
        <v>43283</v>
      </c>
      <c r="B4" s="5" t="s">
        <v>329</v>
      </c>
      <c r="C4" s="5">
        <v>1</v>
      </c>
      <c r="D4" s="17">
        <v>38000</v>
      </c>
      <c r="E4" s="17">
        <f t="shared" ref="E4:E67" si="0">D4*C4</f>
        <v>38000</v>
      </c>
      <c r="F4" s="13">
        <v>43288</v>
      </c>
      <c r="G4" s="5" t="s">
        <v>14</v>
      </c>
      <c r="H4" s="17">
        <v>35000</v>
      </c>
    </row>
    <row r="5" spans="1:8" x14ac:dyDescent="0.35">
      <c r="A5" s="13">
        <v>43283</v>
      </c>
      <c r="B5" s="5" t="s">
        <v>27</v>
      </c>
      <c r="C5" s="5">
        <v>4</v>
      </c>
      <c r="D5" s="17">
        <v>1500</v>
      </c>
      <c r="E5" s="17">
        <f t="shared" si="0"/>
        <v>6000</v>
      </c>
      <c r="F5" s="13">
        <v>43288</v>
      </c>
      <c r="G5" s="5" t="s">
        <v>16</v>
      </c>
      <c r="H5" s="17">
        <v>50000</v>
      </c>
    </row>
    <row r="6" spans="1:8" x14ac:dyDescent="0.35">
      <c r="A6" s="13">
        <v>43283</v>
      </c>
      <c r="B6" s="5" t="s">
        <v>521</v>
      </c>
      <c r="C6" s="5">
        <v>1</v>
      </c>
      <c r="D6" s="17">
        <v>10000</v>
      </c>
      <c r="E6" s="17">
        <f t="shared" si="0"/>
        <v>10000</v>
      </c>
      <c r="F6" s="13">
        <v>43288</v>
      </c>
      <c r="G6" s="5" t="s">
        <v>236</v>
      </c>
      <c r="H6" s="17">
        <v>150000</v>
      </c>
    </row>
    <row r="7" spans="1:8" x14ac:dyDescent="0.35">
      <c r="A7" s="13">
        <v>43283</v>
      </c>
      <c r="B7" s="5" t="s">
        <v>32</v>
      </c>
      <c r="C7" s="5">
        <v>10</v>
      </c>
      <c r="D7" s="17">
        <v>43500</v>
      </c>
      <c r="E7" s="17">
        <f t="shared" si="0"/>
        <v>435000</v>
      </c>
    </row>
    <row r="8" spans="1:8" x14ac:dyDescent="0.35">
      <c r="A8" s="13">
        <v>43283</v>
      </c>
      <c r="B8" s="5" t="s">
        <v>52</v>
      </c>
      <c r="C8" s="5">
        <v>8</v>
      </c>
      <c r="D8" s="17">
        <v>47500</v>
      </c>
      <c r="E8" s="17">
        <f t="shared" si="0"/>
        <v>380000</v>
      </c>
      <c r="F8" s="13">
        <v>43291</v>
      </c>
      <c r="G8" s="5" t="s">
        <v>196</v>
      </c>
      <c r="H8" s="17">
        <v>20000</v>
      </c>
    </row>
    <row r="9" spans="1:8" x14ac:dyDescent="0.35">
      <c r="A9" s="13">
        <v>43283</v>
      </c>
      <c r="B9" s="5" t="s">
        <v>575</v>
      </c>
      <c r="C9" s="5">
        <v>1</v>
      </c>
      <c r="D9" s="17">
        <v>56000</v>
      </c>
      <c r="E9" s="17">
        <f t="shared" si="0"/>
        <v>56000</v>
      </c>
    </row>
    <row r="10" spans="1:8" x14ac:dyDescent="0.35">
      <c r="A10" s="13">
        <v>43283</v>
      </c>
      <c r="B10" s="5" t="s">
        <v>352</v>
      </c>
      <c r="C10" s="5">
        <v>1</v>
      </c>
      <c r="D10" s="17">
        <v>48000</v>
      </c>
      <c r="E10" s="17">
        <f t="shared" si="0"/>
        <v>48000</v>
      </c>
      <c r="F10" s="13">
        <v>43294</v>
      </c>
      <c r="G10" s="5" t="s">
        <v>236</v>
      </c>
      <c r="H10" s="17">
        <v>150000</v>
      </c>
    </row>
    <row r="11" spans="1:8" x14ac:dyDescent="0.35">
      <c r="A11" s="13">
        <v>43283</v>
      </c>
      <c r="B11" s="5" t="s">
        <v>12</v>
      </c>
      <c r="C11" s="5">
        <v>5</v>
      </c>
      <c r="D11" s="17">
        <v>49500</v>
      </c>
      <c r="E11" s="17">
        <f t="shared" si="0"/>
        <v>247500</v>
      </c>
    </row>
    <row r="12" spans="1:8" x14ac:dyDescent="0.35">
      <c r="A12" s="13">
        <v>43283</v>
      </c>
      <c r="B12" s="5" t="s">
        <v>280</v>
      </c>
      <c r="C12" s="5">
        <v>2</v>
      </c>
      <c r="D12" s="17">
        <v>42000</v>
      </c>
      <c r="E12" s="17">
        <f t="shared" si="0"/>
        <v>84000</v>
      </c>
      <c r="F12" s="13">
        <v>43295</v>
      </c>
      <c r="G12" s="5" t="s">
        <v>77</v>
      </c>
      <c r="H12" s="17">
        <v>390000</v>
      </c>
    </row>
    <row r="13" spans="1:8" x14ac:dyDescent="0.35">
      <c r="A13" s="13">
        <v>43284</v>
      </c>
      <c r="E13" s="17">
        <f t="shared" si="0"/>
        <v>0</v>
      </c>
    </row>
    <row r="14" spans="1:8" x14ac:dyDescent="0.35">
      <c r="A14" s="13">
        <v>43284</v>
      </c>
      <c r="B14" s="5" t="s">
        <v>214</v>
      </c>
      <c r="C14" s="5">
        <v>2</v>
      </c>
      <c r="D14" s="17">
        <v>46000</v>
      </c>
      <c r="E14" s="17">
        <f t="shared" si="0"/>
        <v>92000</v>
      </c>
      <c r="F14" s="13">
        <v>43299</v>
      </c>
      <c r="G14" s="5" t="s">
        <v>236</v>
      </c>
      <c r="H14" s="17">
        <v>150000</v>
      </c>
    </row>
    <row r="15" spans="1:8" x14ac:dyDescent="0.35">
      <c r="A15" s="13">
        <v>43284</v>
      </c>
      <c r="B15" s="5" t="s">
        <v>652</v>
      </c>
      <c r="C15" s="5">
        <v>1</v>
      </c>
      <c r="D15" s="17">
        <v>10000</v>
      </c>
      <c r="E15" s="17">
        <f t="shared" si="0"/>
        <v>10000</v>
      </c>
      <c r="F15" s="13">
        <v>43299</v>
      </c>
      <c r="G15" s="5" t="s">
        <v>249</v>
      </c>
      <c r="H15" s="17">
        <v>15000</v>
      </c>
    </row>
    <row r="16" spans="1:8" x14ac:dyDescent="0.35">
      <c r="A16" s="13">
        <v>43284</v>
      </c>
      <c r="B16" s="5" t="s">
        <v>248</v>
      </c>
      <c r="C16" s="5">
        <v>28</v>
      </c>
      <c r="D16" s="17">
        <v>51500</v>
      </c>
      <c r="E16" s="17">
        <f>D16*C16</f>
        <v>1442000</v>
      </c>
      <c r="F16" s="13">
        <v>43299</v>
      </c>
      <c r="G16" s="5" t="s">
        <v>236</v>
      </c>
      <c r="H16" s="17">
        <v>20000</v>
      </c>
    </row>
    <row r="17" spans="1:8" x14ac:dyDescent="0.35">
      <c r="A17" s="13">
        <v>43284</v>
      </c>
      <c r="B17" s="5" t="s">
        <v>614</v>
      </c>
      <c r="C17" s="5">
        <v>1</v>
      </c>
      <c r="D17" s="17">
        <v>58000</v>
      </c>
      <c r="E17" s="17">
        <f t="shared" si="0"/>
        <v>58000</v>
      </c>
      <c r="F17" s="13">
        <v>43299</v>
      </c>
      <c r="G17" s="5" t="s">
        <v>121</v>
      </c>
      <c r="H17" s="17">
        <v>91000</v>
      </c>
    </row>
    <row r="18" spans="1:8" x14ac:dyDescent="0.35">
      <c r="A18" s="13">
        <v>43284</v>
      </c>
      <c r="B18" s="5" t="s">
        <v>73</v>
      </c>
      <c r="C18" s="5">
        <v>6</v>
      </c>
      <c r="D18" s="17">
        <v>43000</v>
      </c>
      <c r="E18" s="17">
        <f t="shared" si="0"/>
        <v>258000</v>
      </c>
    </row>
    <row r="19" spans="1:8" x14ac:dyDescent="0.35">
      <c r="A19" s="13">
        <v>43284</v>
      </c>
      <c r="B19" s="5" t="s">
        <v>648</v>
      </c>
      <c r="C19" s="5">
        <v>2</v>
      </c>
      <c r="D19" s="17">
        <v>60000</v>
      </c>
      <c r="E19" s="17">
        <f t="shared" si="0"/>
        <v>120000</v>
      </c>
      <c r="F19" s="13">
        <v>43302</v>
      </c>
      <c r="G19" s="5" t="s">
        <v>77</v>
      </c>
      <c r="H19" s="17">
        <v>390000</v>
      </c>
    </row>
    <row r="20" spans="1:8" x14ac:dyDescent="0.35">
      <c r="A20" s="13">
        <v>43284</v>
      </c>
      <c r="B20" s="5" t="s">
        <v>667</v>
      </c>
      <c r="C20" s="5">
        <v>60</v>
      </c>
      <c r="D20" s="17">
        <v>48000</v>
      </c>
      <c r="E20" s="17">
        <f t="shared" si="0"/>
        <v>2880000</v>
      </c>
      <c r="F20" s="13">
        <v>43302</v>
      </c>
      <c r="G20" s="5" t="s">
        <v>16</v>
      </c>
      <c r="H20" s="17">
        <v>20000</v>
      </c>
    </row>
    <row r="21" spans="1:8" x14ac:dyDescent="0.35">
      <c r="A21" s="13">
        <v>43284</v>
      </c>
      <c r="B21" s="5" t="s">
        <v>501</v>
      </c>
      <c r="C21" s="5">
        <v>15</v>
      </c>
      <c r="D21" s="17">
        <v>58500</v>
      </c>
      <c r="E21" s="17">
        <f t="shared" si="0"/>
        <v>877500</v>
      </c>
      <c r="F21" s="13">
        <v>43302</v>
      </c>
      <c r="G21" s="5" t="s">
        <v>17</v>
      </c>
      <c r="H21" s="17">
        <v>100000</v>
      </c>
    </row>
    <row r="22" spans="1:8" x14ac:dyDescent="0.35">
      <c r="A22" s="13">
        <v>43284</v>
      </c>
      <c r="B22" s="5" t="s">
        <v>276</v>
      </c>
      <c r="C22" s="5">
        <v>20</v>
      </c>
      <c r="D22" s="17">
        <v>58000</v>
      </c>
      <c r="E22" s="17">
        <f t="shared" si="0"/>
        <v>1160000</v>
      </c>
    </row>
    <row r="23" spans="1:8" x14ac:dyDescent="0.35">
      <c r="A23" s="13">
        <v>43284</v>
      </c>
      <c r="B23" s="5" t="s">
        <v>668</v>
      </c>
      <c r="C23" s="5">
        <v>20</v>
      </c>
      <c r="D23" s="17">
        <v>70500</v>
      </c>
      <c r="E23" s="17">
        <f t="shared" si="0"/>
        <v>1410000</v>
      </c>
      <c r="F23" s="13">
        <v>43304</v>
      </c>
      <c r="G23" s="5" t="s">
        <v>236</v>
      </c>
      <c r="H23" s="17">
        <v>170000</v>
      </c>
    </row>
    <row r="24" spans="1:8" x14ac:dyDescent="0.35">
      <c r="A24" s="13">
        <v>43284</v>
      </c>
      <c r="B24" s="5" t="s">
        <v>12</v>
      </c>
      <c r="C24" s="5">
        <v>1</v>
      </c>
      <c r="D24" s="17">
        <v>53000</v>
      </c>
      <c r="E24" s="17">
        <f t="shared" si="0"/>
        <v>53000</v>
      </c>
    </row>
    <row r="25" spans="1:8" x14ac:dyDescent="0.35">
      <c r="A25" s="13">
        <v>43284</v>
      </c>
      <c r="B25" s="5" t="s">
        <v>52</v>
      </c>
      <c r="C25" s="5">
        <v>2</v>
      </c>
      <c r="D25" s="17">
        <v>47500</v>
      </c>
      <c r="E25" s="17">
        <f t="shared" si="0"/>
        <v>95000</v>
      </c>
      <c r="F25" s="13">
        <v>43307</v>
      </c>
      <c r="G25" s="5" t="s">
        <v>76</v>
      </c>
      <c r="H25" s="17">
        <v>20000</v>
      </c>
    </row>
    <row r="26" spans="1:8" x14ac:dyDescent="0.35">
      <c r="A26" s="13">
        <v>43284</v>
      </c>
      <c r="B26" s="5" t="s">
        <v>669</v>
      </c>
      <c r="C26" s="5">
        <v>2</v>
      </c>
      <c r="D26" s="17">
        <v>43500</v>
      </c>
      <c r="E26" s="17">
        <f t="shared" si="0"/>
        <v>87000</v>
      </c>
    </row>
    <row r="27" spans="1:8" x14ac:dyDescent="0.35">
      <c r="A27" s="13">
        <v>43285</v>
      </c>
      <c r="E27" s="17">
        <f t="shared" si="0"/>
        <v>0</v>
      </c>
      <c r="F27" s="13">
        <v>43309</v>
      </c>
      <c r="G27" s="5" t="s">
        <v>77</v>
      </c>
      <c r="H27" s="17">
        <v>390000</v>
      </c>
    </row>
    <row r="28" spans="1:8" x14ac:dyDescent="0.35">
      <c r="A28" s="13">
        <v>43285</v>
      </c>
      <c r="B28" s="5" t="s">
        <v>458</v>
      </c>
      <c r="C28" s="5">
        <v>55</v>
      </c>
      <c r="D28" s="17">
        <v>1500</v>
      </c>
      <c r="E28" s="17">
        <f t="shared" si="0"/>
        <v>82500</v>
      </c>
      <c r="F28" s="13">
        <v>43309</v>
      </c>
      <c r="G28" s="5" t="s">
        <v>17</v>
      </c>
      <c r="H28" s="17">
        <v>200000</v>
      </c>
    </row>
    <row r="29" spans="1:8" x14ac:dyDescent="0.35">
      <c r="A29" s="13">
        <v>43285</v>
      </c>
      <c r="B29" s="5" t="s">
        <v>483</v>
      </c>
      <c r="C29" s="5">
        <v>1</v>
      </c>
      <c r="D29" s="17">
        <v>53000</v>
      </c>
      <c r="E29" s="17">
        <f t="shared" si="0"/>
        <v>53000</v>
      </c>
      <c r="F29" s="13">
        <v>43309</v>
      </c>
      <c r="G29" s="5" t="s">
        <v>236</v>
      </c>
      <c r="H29" s="17">
        <v>150000</v>
      </c>
    </row>
    <row r="30" spans="1:8" x14ac:dyDescent="0.35">
      <c r="A30" s="13">
        <v>43285</v>
      </c>
      <c r="B30" s="5" t="s">
        <v>501</v>
      </c>
      <c r="C30" s="5">
        <v>11</v>
      </c>
      <c r="D30" s="17">
        <v>58500</v>
      </c>
      <c r="E30" s="17">
        <f t="shared" si="0"/>
        <v>643500</v>
      </c>
    </row>
    <row r="31" spans="1:8" x14ac:dyDescent="0.35">
      <c r="A31" s="13">
        <v>43285</v>
      </c>
      <c r="B31" s="5" t="s">
        <v>670</v>
      </c>
      <c r="C31" s="5">
        <v>2</v>
      </c>
      <c r="D31" s="17">
        <v>56000</v>
      </c>
      <c r="E31" s="17">
        <f t="shared" si="0"/>
        <v>112000</v>
      </c>
      <c r="F31" s="13">
        <v>43311</v>
      </c>
      <c r="G31" s="5" t="s">
        <v>236</v>
      </c>
      <c r="H31" s="17">
        <v>30000</v>
      </c>
    </row>
    <row r="32" spans="1:8" x14ac:dyDescent="0.35">
      <c r="A32" s="13">
        <v>43285</v>
      </c>
      <c r="B32" s="5" t="s">
        <v>112</v>
      </c>
      <c r="C32" s="5">
        <v>6</v>
      </c>
      <c r="D32" s="17">
        <v>43500</v>
      </c>
      <c r="E32" s="17">
        <f t="shared" si="0"/>
        <v>261000</v>
      </c>
      <c r="F32" s="13">
        <v>43311</v>
      </c>
      <c r="G32" s="5" t="s">
        <v>78</v>
      </c>
      <c r="H32" s="17">
        <v>867000</v>
      </c>
    </row>
    <row r="33" spans="1:8" x14ac:dyDescent="0.35">
      <c r="A33" s="13">
        <v>43285</v>
      </c>
      <c r="B33" s="5" t="s">
        <v>57</v>
      </c>
      <c r="C33" s="5">
        <v>1</v>
      </c>
      <c r="D33" s="17">
        <v>38000</v>
      </c>
      <c r="E33" s="17">
        <f t="shared" si="0"/>
        <v>38000</v>
      </c>
      <c r="H33" s="17">
        <f>SUM(H2:H32)</f>
        <v>3733000</v>
      </c>
    </row>
    <row r="34" spans="1:8" x14ac:dyDescent="0.35">
      <c r="A34" s="13">
        <v>43285</v>
      </c>
      <c r="B34" s="5" t="s">
        <v>420</v>
      </c>
      <c r="C34" s="5">
        <v>26</v>
      </c>
      <c r="D34" s="17">
        <v>8500</v>
      </c>
      <c r="E34" s="17">
        <f t="shared" si="0"/>
        <v>221000</v>
      </c>
    </row>
    <row r="35" spans="1:8" x14ac:dyDescent="0.35">
      <c r="A35" s="13">
        <v>43285</v>
      </c>
      <c r="B35" s="5" t="s">
        <v>95</v>
      </c>
      <c r="C35" s="5">
        <v>4</v>
      </c>
      <c r="D35" s="17">
        <v>50000</v>
      </c>
      <c r="E35" s="17">
        <f t="shared" si="0"/>
        <v>200000</v>
      </c>
    </row>
    <row r="36" spans="1:8" x14ac:dyDescent="0.35">
      <c r="A36" s="13">
        <v>43285</v>
      </c>
      <c r="B36" s="5" t="s">
        <v>160</v>
      </c>
      <c r="C36" s="5">
        <v>14</v>
      </c>
      <c r="D36" s="17">
        <v>56000</v>
      </c>
      <c r="E36" s="17">
        <f t="shared" si="0"/>
        <v>784000</v>
      </c>
    </row>
    <row r="37" spans="1:8" x14ac:dyDescent="0.35">
      <c r="A37" s="13">
        <v>43285</v>
      </c>
      <c r="B37" s="5" t="s">
        <v>46</v>
      </c>
      <c r="C37" s="5">
        <v>2</v>
      </c>
      <c r="D37" s="17">
        <v>15000</v>
      </c>
      <c r="E37" s="17">
        <f t="shared" si="0"/>
        <v>30000</v>
      </c>
    </row>
    <row r="38" spans="1:8" x14ac:dyDescent="0.35">
      <c r="A38" s="13">
        <v>43285</v>
      </c>
      <c r="B38" s="5" t="s">
        <v>671</v>
      </c>
      <c r="C38" s="5">
        <v>1</v>
      </c>
      <c r="D38" s="17">
        <v>46000</v>
      </c>
      <c r="E38" s="17">
        <f t="shared" si="0"/>
        <v>46000</v>
      </c>
    </row>
    <row r="39" spans="1:8" x14ac:dyDescent="0.35">
      <c r="A39" s="13">
        <v>43285</v>
      </c>
      <c r="B39" s="5" t="s">
        <v>672</v>
      </c>
      <c r="C39" s="5">
        <v>4</v>
      </c>
      <c r="D39" s="17">
        <v>30000</v>
      </c>
      <c r="E39" s="17">
        <f t="shared" si="0"/>
        <v>120000</v>
      </c>
    </row>
    <row r="40" spans="1:8" x14ac:dyDescent="0.35">
      <c r="A40" s="13">
        <v>43286</v>
      </c>
      <c r="E40" s="17">
        <f t="shared" si="0"/>
        <v>0</v>
      </c>
    </row>
    <row r="41" spans="1:8" x14ac:dyDescent="0.35">
      <c r="A41" s="13">
        <v>43286</v>
      </c>
      <c r="B41" s="5" t="s">
        <v>30</v>
      </c>
      <c r="C41" s="5">
        <v>1</v>
      </c>
      <c r="D41" s="17">
        <v>47000</v>
      </c>
      <c r="E41" s="17">
        <f t="shared" si="0"/>
        <v>47000</v>
      </c>
    </row>
    <row r="42" spans="1:8" x14ac:dyDescent="0.35">
      <c r="A42" s="13">
        <v>43286</v>
      </c>
      <c r="B42" s="5" t="s">
        <v>200</v>
      </c>
      <c r="C42" s="5">
        <v>2</v>
      </c>
      <c r="D42" s="17">
        <v>46000</v>
      </c>
      <c r="E42" s="17">
        <f t="shared" si="0"/>
        <v>92000</v>
      </c>
    </row>
    <row r="43" spans="1:8" x14ac:dyDescent="0.35">
      <c r="A43" s="13">
        <v>43286</v>
      </c>
      <c r="B43" s="5" t="s">
        <v>648</v>
      </c>
      <c r="C43" s="5">
        <v>1</v>
      </c>
      <c r="D43" s="17">
        <v>60000</v>
      </c>
      <c r="E43" s="17">
        <f t="shared" si="0"/>
        <v>60000</v>
      </c>
    </row>
    <row r="44" spans="1:8" x14ac:dyDescent="0.35">
      <c r="A44" s="13">
        <v>43286</v>
      </c>
      <c r="B44" s="5" t="s">
        <v>320</v>
      </c>
      <c r="C44" s="5">
        <v>2</v>
      </c>
      <c r="D44" s="17">
        <v>48000</v>
      </c>
      <c r="E44" s="17">
        <f t="shared" si="0"/>
        <v>96000</v>
      </c>
    </row>
    <row r="45" spans="1:8" x14ac:dyDescent="0.35">
      <c r="A45" s="13">
        <v>43286</v>
      </c>
      <c r="B45" s="5" t="s">
        <v>72</v>
      </c>
      <c r="C45" s="5">
        <v>2</v>
      </c>
      <c r="D45" s="17">
        <v>47000</v>
      </c>
      <c r="E45" s="17">
        <f t="shared" si="0"/>
        <v>94000</v>
      </c>
    </row>
    <row r="46" spans="1:8" x14ac:dyDescent="0.35">
      <c r="A46" s="13">
        <v>43286</v>
      </c>
      <c r="B46" s="5" t="s">
        <v>69</v>
      </c>
      <c r="C46" s="5">
        <v>4</v>
      </c>
      <c r="D46" s="17">
        <v>45000</v>
      </c>
      <c r="E46" s="17">
        <f t="shared" si="0"/>
        <v>180000</v>
      </c>
    </row>
    <row r="47" spans="1:8" x14ac:dyDescent="0.35">
      <c r="A47" s="13">
        <v>43286</v>
      </c>
      <c r="B47" s="5" t="s">
        <v>84</v>
      </c>
      <c r="C47" s="5">
        <v>10</v>
      </c>
      <c r="D47" s="17">
        <v>4000</v>
      </c>
      <c r="E47" s="17">
        <f t="shared" si="0"/>
        <v>40000</v>
      </c>
    </row>
    <row r="48" spans="1:8" x14ac:dyDescent="0.35">
      <c r="A48" s="13">
        <v>43286</v>
      </c>
      <c r="B48" s="5" t="s">
        <v>639</v>
      </c>
      <c r="C48" s="5">
        <v>1</v>
      </c>
      <c r="D48" s="17">
        <v>10000</v>
      </c>
      <c r="E48" s="17">
        <f t="shared" si="0"/>
        <v>10000</v>
      </c>
    </row>
    <row r="49" spans="1:5" x14ac:dyDescent="0.35">
      <c r="A49" s="13">
        <v>43286</v>
      </c>
      <c r="B49" s="5" t="s">
        <v>23</v>
      </c>
      <c r="C49" s="5">
        <v>7</v>
      </c>
      <c r="D49" s="17">
        <v>47000</v>
      </c>
      <c r="E49" s="17">
        <f t="shared" si="0"/>
        <v>329000</v>
      </c>
    </row>
    <row r="50" spans="1:5" x14ac:dyDescent="0.35">
      <c r="A50" s="13">
        <v>43286</v>
      </c>
      <c r="B50" s="5" t="s">
        <v>671</v>
      </c>
      <c r="C50" s="5">
        <v>1</v>
      </c>
      <c r="D50" s="17">
        <v>46000</v>
      </c>
      <c r="E50" s="17">
        <f t="shared" si="0"/>
        <v>46000</v>
      </c>
    </row>
    <row r="51" spans="1:5" x14ac:dyDescent="0.35">
      <c r="A51" s="13">
        <v>43286</v>
      </c>
      <c r="B51" s="5" t="s">
        <v>648</v>
      </c>
      <c r="C51" s="5">
        <v>12</v>
      </c>
      <c r="D51" s="17">
        <v>59000</v>
      </c>
      <c r="E51" s="17">
        <f t="shared" si="0"/>
        <v>708000</v>
      </c>
    </row>
    <row r="52" spans="1:5" x14ac:dyDescent="0.35">
      <c r="A52" s="13">
        <v>43286</v>
      </c>
      <c r="B52" s="5" t="s">
        <v>388</v>
      </c>
      <c r="C52" s="5">
        <v>4</v>
      </c>
      <c r="D52" s="17">
        <v>53000</v>
      </c>
      <c r="E52" s="17">
        <f t="shared" si="0"/>
        <v>212000</v>
      </c>
    </row>
    <row r="53" spans="1:5" x14ac:dyDescent="0.35">
      <c r="A53" s="13">
        <v>43286</v>
      </c>
      <c r="B53" s="5" t="s">
        <v>80</v>
      </c>
      <c r="C53" s="5">
        <v>1</v>
      </c>
      <c r="D53" s="17">
        <v>13000</v>
      </c>
      <c r="E53" s="17">
        <f t="shared" si="0"/>
        <v>13000</v>
      </c>
    </row>
    <row r="54" spans="1:5" x14ac:dyDescent="0.35">
      <c r="A54" s="13">
        <v>43286</v>
      </c>
      <c r="B54" s="5" t="s">
        <v>365</v>
      </c>
      <c r="C54" s="5">
        <v>1</v>
      </c>
      <c r="D54" s="17">
        <v>10000</v>
      </c>
      <c r="E54" s="17">
        <f t="shared" si="0"/>
        <v>10000</v>
      </c>
    </row>
    <row r="55" spans="1:5" x14ac:dyDescent="0.35">
      <c r="A55" s="13">
        <v>43286</v>
      </c>
      <c r="B55" s="5" t="s">
        <v>52</v>
      </c>
      <c r="C55" s="5">
        <v>1</v>
      </c>
      <c r="D55" s="17">
        <v>47000</v>
      </c>
      <c r="E55" s="17">
        <f t="shared" si="0"/>
        <v>47000</v>
      </c>
    </row>
    <row r="56" spans="1:5" x14ac:dyDescent="0.35">
      <c r="A56" s="13">
        <v>43287</v>
      </c>
      <c r="E56" s="17">
        <f t="shared" si="0"/>
        <v>0</v>
      </c>
    </row>
    <row r="57" spans="1:5" x14ac:dyDescent="0.35">
      <c r="A57" s="13">
        <v>43287</v>
      </c>
      <c r="B57" s="5" t="s">
        <v>32</v>
      </c>
      <c r="C57" s="5">
        <v>9</v>
      </c>
      <c r="D57" s="17">
        <v>43500</v>
      </c>
      <c r="E57" s="17">
        <f t="shared" si="0"/>
        <v>391500</v>
      </c>
    </row>
    <row r="58" spans="1:5" x14ac:dyDescent="0.35">
      <c r="A58" s="13">
        <v>43287</v>
      </c>
      <c r="B58" s="5" t="s">
        <v>673</v>
      </c>
      <c r="C58" s="5">
        <v>1</v>
      </c>
      <c r="D58" s="17">
        <v>15000</v>
      </c>
      <c r="E58" s="17">
        <f t="shared" si="0"/>
        <v>15000</v>
      </c>
    </row>
    <row r="59" spans="1:5" x14ac:dyDescent="0.35">
      <c r="A59" s="13">
        <v>43287</v>
      </c>
      <c r="B59" s="5" t="s">
        <v>674</v>
      </c>
      <c r="C59" s="5">
        <v>263</v>
      </c>
      <c r="D59" s="17">
        <v>1000</v>
      </c>
      <c r="E59" s="17">
        <f t="shared" si="0"/>
        <v>263000</v>
      </c>
    </row>
    <row r="60" spans="1:5" x14ac:dyDescent="0.35">
      <c r="A60" s="13">
        <v>43287</v>
      </c>
      <c r="B60" s="5" t="s">
        <v>34</v>
      </c>
      <c r="C60" s="5">
        <v>4</v>
      </c>
      <c r="D60" s="17">
        <v>48000</v>
      </c>
      <c r="E60" s="17">
        <f t="shared" si="0"/>
        <v>192000</v>
      </c>
    </row>
    <row r="61" spans="1:5" x14ac:dyDescent="0.35">
      <c r="A61" s="13">
        <v>43287</v>
      </c>
      <c r="B61" s="5" t="s">
        <v>675</v>
      </c>
      <c r="C61" s="5">
        <v>1</v>
      </c>
      <c r="D61" s="17">
        <v>60000</v>
      </c>
      <c r="E61" s="17">
        <f t="shared" si="0"/>
        <v>60000</v>
      </c>
    </row>
    <row r="62" spans="1:5" x14ac:dyDescent="0.35">
      <c r="A62" s="13">
        <v>43287</v>
      </c>
      <c r="B62" s="5" t="s">
        <v>404</v>
      </c>
      <c r="C62" s="5">
        <v>16</v>
      </c>
      <c r="D62" s="17">
        <v>47500</v>
      </c>
      <c r="E62" s="17">
        <f t="shared" si="0"/>
        <v>760000</v>
      </c>
    </row>
    <row r="63" spans="1:5" x14ac:dyDescent="0.35">
      <c r="A63" s="13">
        <v>43287</v>
      </c>
      <c r="B63" s="5" t="s">
        <v>125</v>
      </c>
      <c r="C63" s="5">
        <v>36</v>
      </c>
      <c r="D63" s="17">
        <v>36000</v>
      </c>
      <c r="E63" s="17">
        <f t="shared" si="0"/>
        <v>1296000</v>
      </c>
    </row>
    <row r="64" spans="1:5" x14ac:dyDescent="0.35">
      <c r="A64" s="13">
        <v>43287</v>
      </c>
      <c r="B64" s="5" t="s">
        <v>60</v>
      </c>
      <c r="C64" s="5">
        <v>18</v>
      </c>
      <c r="D64" s="17">
        <v>54000</v>
      </c>
      <c r="E64" s="17">
        <f t="shared" si="0"/>
        <v>972000</v>
      </c>
    </row>
    <row r="65" spans="1:5" x14ac:dyDescent="0.35">
      <c r="A65" s="13">
        <v>43287</v>
      </c>
      <c r="B65" s="5" t="s">
        <v>501</v>
      </c>
      <c r="C65" s="5">
        <v>2</v>
      </c>
      <c r="D65" s="17">
        <v>58500</v>
      </c>
      <c r="E65" s="17">
        <f t="shared" si="0"/>
        <v>117000</v>
      </c>
    </row>
    <row r="66" spans="1:5" x14ac:dyDescent="0.35">
      <c r="A66" s="13">
        <v>43287</v>
      </c>
      <c r="B66" s="5" t="s">
        <v>365</v>
      </c>
      <c r="C66" s="5">
        <v>1</v>
      </c>
      <c r="D66" s="17">
        <v>10000</v>
      </c>
      <c r="E66" s="17">
        <f t="shared" si="0"/>
        <v>10000</v>
      </c>
    </row>
    <row r="67" spans="1:5" x14ac:dyDescent="0.35">
      <c r="A67" s="13">
        <v>43287</v>
      </c>
      <c r="B67" s="5" t="s">
        <v>30</v>
      </c>
      <c r="C67" s="5">
        <v>1</v>
      </c>
      <c r="D67" s="17">
        <v>47000</v>
      </c>
      <c r="E67" s="17">
        <f t="shared" si="0"/>
        <v>47000</v>
      </c>
    </row>
    <row r="68" spans="1:5" x14ac:dyDescent="0.35">
      <c r="A68" s="13">
        <v>43287</v>
      </c>
      <c r="B68" s="5" t="s">
        <v>676</v>
      </c>
      <c r="C68" s="5">
        <v>11</v>
      </c>
      <c r="D68" s="17">
        <v>4000</v>
      </c>
      <c r="E68" s="17">
        <f t="shared" ref="E68:E131" si="1">D68*C68</f>
        <v>44000</v>
      </c>
    </row>
    <row r="69" spans="1:5" x14ac:dyDescent="0.35">
      <c r="A69" s="13">
        <v>43287</v>
      </c>
      <c r="B69" s="5" t="s">
        <v>404</v>
      </c>
      <c r="C69" s="5">
        <v>1</v>
      </c>
      <c r="D69" s="17">
        <v>48000</v>
      </c>
      <c r="E69" s="17">
        <f t="shared" si="1"/>
        <v>48000</v>
      </c>
    </row>
    <row r="70" spans="1:5" x14ac:dyDescent="0.35">
      <c r="A70" s="13">
        <v>43287</v>
      </c>
      <c r="B70" s="5" t="s">
        <v>610</v>
      </c>
      <c r="C70" s="5">
        <v>2</v>
      </c>
      <c r="D70" s="17">
        <v>57000</v>
      </c>
      <c r="E70" s="17">
        <f t="shared" si="1"/>
        <v>114000</v>
      </c>
    </row>
    <row r="71" spans="1:5" x14ac:dyDescent="0.35">
      <c r="A71" s="13">
        <v>43288</v>
      </c>
      <c r="E71" s="17">
        <f t="shared" si="1"/>
        <v>0</v>
      </c>
    </row>
    <row r="72" spans="1:5" x14ac:dyDescent="0.35">
      <c r="A72" s="13">
        <v>43288</v>
      </c>
      <c r="B72" s="5" t="s">
        <v>34</v>
      </c>
      <c r="C72" s="5">
        <v>2</v>
      </c>
      <c r="D72" s="17">
        <v>48000</v>
      </c>
      <c r="E72" s="17">
        <f t="shared" si="1"/>
        <v>96000</v>
      </c>
    </row>
    <row r="73" spans="1:5" x14ac:dyDescent="0.35">
      <c r="A73" s="13">
        <v>43288</v>
      </c>
      <c r="B73" s="5" t="s">
        <v>350</v>
      </c>
      <c r="C73" s="5">
        <v>1</v>
      </c>
      <c r="D73" s="17">
        <v>55000</v>
      </c>
      <c r="E73" s="17">
        <f t="shared" si="1"/>
        <v>55000</v>
      </c>
    </row>
    <row r="74" spans="1:5" x14ac:dyDescent="0.35">
      <c r="A74" s="13">
        <v>43288</v>
      </c>
      <c r="B74" s="5" t="s">
        <v>677</v>
      </c>
      <c r="C74" s="5">
        <v>25</v>
      </c>
      <c r="D74" s="17">
        <v>2000</v>
      </c>
      <c r="E74" s="17">
        <f t="shared" si="1"/>
        <v>50000</v>
      </c>
    </row>
    <row r="75" spans="1:5" x14ac:dyDescent="0.35">
      <c r="A75" s="13">
        <v>43288</v>
      </c>
      <c r="B75" s="5" t="s">
        <v>34</v>
      </c>
      <c r="C75" s="5">
        <v>11</v>
      </c>
      <c r="D75" s="17">
        <v>48000</v>
      </c>
      <c r="E75" s="17">
        <f t="shared" si="1"/>
        <v>528000</v>
      </c>
    </row>
    <row r="76" spans="1:5" x14ac:dyDescent="0.35">
      <c r="A76" s="13">
        <v>43288</v>
      </c>
      <c r="B76" s="5" t="s">
        <v>498</v>
      </c>
      <c r="C76" s="5">
        <v>5</v>
      </c>
      <c r="D76" s="17">
        <v>59000</v>
      </c>
      <c r="E76" s="17">
        <f t="shared" si="1"/>
        <v>295000</v>
      </c>
    </row>
    <row r="77" spans="1:5" x14ac:dyDescent="0.35">
      <c r="A77" s="13">
        <v>43288</v>
      </c>
      <c r="B77" s="5" t="s">
        <v>540</v>
      </c>
      <c r="C77" s="5">
        <v>22</v>
      </c>
      <c r="D77" s="17">
        <v>56000</v>
      </c>
      <c r="E77" s="17">
        <f t="shared" si="1"/>
        <v>1232000</v>
      </c>
    </row>
    <row r="78" spans="1:5" x14ac:dyDescent="0.35">
      <c r="A78" s="13">
        <v>43288</v>
      </c>
      <c r="B78" s="5" t="s">
        <v>60</v>
      </c>
      <c r="C78" s="5">
        <v>9</v>
      </c>
      <c r="D78" s="17">
        <v>54000</v>
      </c>
      <c r="E78" s="17">
        <f t="shared" si="1"/>
        <v>486000</v>
      </c>
    </row>
    <row r="79" spans="1:5" x14ac:dyDescent="0.35">
      <c r="A79" s="13">
        <v>43288</v>
      </c>
      <c r="B79" s="5" t="s">
        <v>12</v>
      </c>
      <c r="C79" s="5">
        <v>2</v>
      </c>
      <c r="D79" s="17">
        <v>53000</v>
      </c>
      <c r="E79" s="17">
        <f t="shared" si="1"/>
        <v>106000</v>
      </c>
    </row>
    <row r="80" spans="1:5" x14ac:dyDescent="0.35">
      <c r="A80" s="13">
        <v>43288</v>
      </c>
      <c r="B80" s="5" t="s">
        <v>678</v>
      </c>
      <c r="C80" s="5">
        <v>7</v>
      </c>
      <c r="D80" s="17">
        <v>53000</v>
      </c>
      <c r="E80" s="17">
        <f t="shared" si="1"/>
        <v>371000</v>
      </c>
    </row>
    <row r="81" spans="1:5" x14ac:dyDescent="0.35">
      <c r="A81" s="13">
        <v>43288</v>
      </c>
      <c r="B81" s="5" t="s">
        <v>679</v>
      </c>
      <c r="C81" s="5">
        <v>1</v>
      </c>
      <c r="D81" s="17">
        <v>8500</v>
      </c>
      <c r="E81" s="17">
        <f t="shared" si="1"/>
        <v>8500</v>
      </c>
    </row>
    <row r="82" spans="1:5" x14ac:dyDescent="0.35">
      <c r="A82" s="13">
        <v>43288</v>
      </c>
      <c r="B82" s="5" t="s">
        <v>473</v>
      </c>
      <c r="C82" s="5">
        <v>1</v>
      </c>
      <c r="D82" s="17">
        <v>9500</v>
      </c>
      <c r="E82" s="17">
        <f t="shared" si="1"/>
        <v>9500</v>
      </c>
    </row>
    <row r="83" spans="1:5" x14ac:dyDescent="0.35">
      <c r="A83" s="13">
        <v>43290</v>
      </c>
      <c r="E83" s="17">
        <f t="shared" si="1"/>
        <v>0</v>
      </c>
    </row>
    <row r="84" spans="1:5" x14ac:dyDescent="0.35">
      <c r="A84" s="13">
        <v>43290</v>
      </c>
      <c r="B84" s="5" t="s">
        <v>203</v>
      </c>
      <c r="C84" s="5">
        <v>9</v>
      </c>
      <c r="D84" s="17">
        <v>57000</v>
      </c>
      <c r="E84" s="17">
        <f t="shared" si="1"/>
        <v>513000</v>
      </c>
    </row>
    <row r="85" spans="1:5" x14ac:dyDescent="0.35">
      <c r="A85" s="13">
        <v>43290</v>
      </c>
      <c r="B85" s="5" t="s">
        <v>58</v>
      </c>
      <c r="C85" s="5">
        <v>5</v>
      </c>
      <c r="D85" s="17">
        <v>50000</v>
      </c>
      <c r="E85" s="17">
        <f t="shared" si="1"/>
        <v>250000</v>
      </c>
    </row>
    <row r="86" spans="1:5" x14ac:dyDescent="0.35">
      <c r="A86" s="13">
        <v>43290</v>
      </c>
      <c r="B86" s="5" t="s">
        <v>680</v>
      </c>
      <c r="C86" s="5">
        <v>7</v>
      </c>
      <c r="D86" s="17">
        <v>50000</v>
      </c>
      <c r="E86" s="17">
        <f t="shared" si="1"/>
        <v>350000</v>
      </c>
    </row>
    <row r="87" spans="1:5" x14ac:dyDescent="0.35">
      <c r="A87" s="13">
        <v>43290</v>
      </c>
      <c r="B87" s="5" t="s">
        <v>681</v>
      </c>
      <c r="C87" s="5">
        <v>2</v>
      </c>
      <c r="D87" s="17">
        <v>50000</v>
      </c>
      <c r="E87" s="17">
        <f t="shared" si="1"/>
        <v>100000</v>
      </c>
    </row>
    <row r="88" spans="1:5" x14ac:dyDescent="0.35">
      <c r="A88" s="13">
        <v>43290</v>
      </c>
      <c r="B88" s="5" t="s">
        <v>1</v>
      </c>
      <c r="C88" s="5">
        <v>16</v>
      </c>
      <c r="D88" s="17">
        <v>50000</v>
      </c>
      <c r="E88" s="17">
        <f t="shared" si="1"/>
        <v>800000</v>
      </c>
    </row>
    <row r="89" spans="1:5" x14ac:dyDescent="0.35">
      <c r="A89" s="13">
        <v>43290</v>
      </c>
      <c r="B89" s="5" t="s">
        <v>46</v>
      </c>
      <c r="C89" s="5">
        <v>5</v>
      </c>
      <c r="D89" s="17">
        <v>15000</v>
      </c>
      <c r="E89" s="17">
        <f t="shared" si="1"/>
        <v>75000</v>
      </c>
    </row>
    <row r="90" spans="1:5" x14ac:dyDescent="0.35">
      <c r="A90" s="13">
        <v>43290</v>
      </c>
      <c r="B90" s="5" t="s">
        <v>682</v>
      </c>
      <c r="C90" s="5">
        <v>25</v>
      </c>
      <c r="D90" s="17">
        <v>1400</v>
      </c>
      <c r="E90" s="17">
        <f t="shared" si="1"/>
        <v>35000</v>
      </c>
    </row>
    <row r="91" spans="1:5" x14ac:dyDescent="0.35">
      <c r="A91" s="13">
        <v>43290</v>
      </c>
      <c r="B91" s="5" t="s">
        <v>683</v>
      </c>
      <c r="C91" s="5">
        <v>2</v>
      </c>
      <c r="D91" s="17">
        <v>60000</v>
      </c>
      <c r="E91" s="17">
        <f t="shared" si="1"/>
        <v>120000</v>
      </c>
    </row>
    <row r="92" spans="1:5" x14ac:dyDescent="0.35">
      <c r="A92" s="13">
        <v>43290</v>
      </c>
      <c r="B92" s="5" t="s">
        <v>663</v>
      </c>
      <c r="C92" s="5">
        <v>10</v>
      </c>
      <c r="D92" s="17">
        <v>58000</v>
      </c>
      <c r="E92" s="17">
        <f t="shared" si="1"/>
        <v>580000</v>
      </c>
    </row>
    <row r="93" spans="1:5" x14ac:dyDescent="0.35">
      <c r="A93" s="13">
        <v>43290</v>
      </c>
      <c r="B93" s="5" t="s">
        <v>60</v>
      </c>
      <c r="C93" s="5">
        <v>7</v>
      </c>
      <c r="D93" s="17">
        <v>54000</v>
      </c>
      <c r="E93" s="17">
        <f t="shared" si="1"/>
        <v>378000</v>
      </c>
    </row>
    <row r="94" spans="1:5" x14ac:dyDescent="0.35">
      <c r="A94" s="13">
        <v>43292</v>
      </c>
      <c r="E94" s="17">
        <f t="shared" si="1"/>
        <v>0</v>
      </c>
    </row>
    <row r="95" spans="1:5" x14ac:dyDescent="0.35">
      <c r="A95" s="13">
        <v>43292</v>
      </c>
      <c r="B95" s="5" t="s">
        <v>33</v>
      </c>
      <c r="C95" s="5">
        <v>30</v>
      </c>
      <c r="D95" s="17">
        <v>49000</v>
      </c>
      <c r="E95" s="17">
        <f t="shared" si="1"/>
        <v>1470000</v>
      </c>
    </row>
    <row r="96" spans="1:5" x14ac:dyDescent="0.35">
      <c r="A96" s="13">
        <v>43292</v>
      </c>
      <c r="B96" s="5" t="s">
        <v>687</v>
      </c>
      <c r="C96" s="5">
        <v>38</v>
      </c>
      <c r="D96" s="17">
        <v>2000</v>
      </c>
      <c r="E96" s="17">
        <f t="shared" si="1"/>
        <v>76000</v>
      </c>
    </row>
    <row r="97" spans="1:5" x14ac:dyDescent="0.35">
      <c r="A97" s="13">
        <v>43292</v>
      </c>
      <c r="B97" s="5" t="s">
        <v>4</v>
      </c>
      <c r="C97" s="5">
        <v>4</v>
      </c>
      <c r="D97" s="17">
        <v>39000</v>
      </c>
      <c r="E97" s="17">
        <f t="shared" si="1"/>
        <v>156000</v>
      </c>
    </row>
    <row r="98" spans="1:5" x14ac:dyDescent="0.35">
      <c r="A98" s="13">
        <v>43292</v>
      </c>
      <c r="B98" s="5" t="s">
        <v>34</v>
      </c>
      <c r="C98" s="5">
        <v>33</v>
      </c>
      <c r="D98" s="17">
        <v>43000</v>
      </c>
      <c r="E98" s="17">
        <f t="shared" si="1"/>
        <v>1419000</v>
      </c>
    </row>
    <row r="99" spans="1:5" x14ac:dyDescent="0.35">
      <c r="A99" s="13">
        <v>43292</v>
      </c>
      <c r="B99" s="5" t="s">
        <v>33</v>
      </c>
      <c r="C99" s="5">
        <v>6</v>
      </c>
      <c r="D99" s="17">
        <v>49000</v>
      </c>
      <c r="E99" s="17">
        <f t="shared" si="1"/>
        <v>294000</v>
      </c>
    </row>
    <row r="100" spans="1:5" x14ac:dyDescent="0.35">
      <c r="A100" s="13">
        <v>43292</v>
      </c>
      <c r="B100" s="5" t="s">
        <v>46</v>
      </c>
      <c r="C100" s="5">
        <v>1</v>
      </c>
      <c r="D100" s="17">
        <v>15000</v>
      </c>
      <c r="E100" s="17">
        <f t="shared" si="1"/>
        <v>15000</v>
      </c>
    </row>
    <row r="101" spans="1:5" x14ac:dyDescent="0.35">
      <c r="A101" s="13">
        <v>43292</v>
      </c>
      <c r="B101" s="5" t="s">
        <v>36</v>
      </c>
      <c r="C101" s="5">
        <v>2</v>
      </c>
      <c r="D101" s="17">
        <v>46000</v>
      </c>
      <c r="E101" s="17">
        <f t="shared" si="1"/>
        <v>92000</v>
      </c>
    </row>
    <row r="102" spans="1:5" x14ac:dyDescent="0.35">
      <c r="A102" s="13">
        <v>43292</v>
      </c>
      <c r="B102" s="5" t="s">
        <v>586</v>
      </c>
      <c r="C102" s="5">
        <v>1</v>
      </c>
      <c r="D102" s="17">
        <v>8000</v>
      </c>
      <c r="E102" s="17">
        <f t="shared" si="1"/>
        <v>8000</v>
      </c>
    </row>
    <row r="103" spans="1:5" x14ac:dyDescent="0.35">
      <c r="A103" s="13">
        <v>43292</v>
      </c>
      <c r="B103" s="5" t="s">
        <v>688</v>
      </c>
      <c r="C103" s="5">
        <v>8</v>
      </c>
      <c r="D103" s="17">
        <v>2200</v>
      </c>
      <c r="E103" s="17">
        <f t="shared" si="1"/>
        <v>17600</v>
      </c>
    </row>
    <row r="104" spans="1:5" x14ac:dyDescent="0.35">
      <c r="A104" s="13">
        <v>43292</v>
      </c>
      <c r="B104" s="5" t="s">
        <v>689</v>
      </c>
      <c r="C104" s="5">
        <v>18</v>
      </c>
      <c r="D104" s="17">
        <v>2000</v>
      </c>
      <c r="E104" s="17">
        <f t="shared" si="1"/>
        <v>36000</v>
      </c>
    </row>
    <row r="105" spans="1:5" x14ac:dyDescent="0.35">
      <c r="A105" s="13">
        <v>43292</v>
      </c>
      <c r="B105" s="5" t="s">
        <v>483</v>
      </c>
      <c r="C105" s="5">
        <v>19</v>
      </c>
      <c r="D105" s="17">
        <v>54000</v>
      </c>
      <c r="E105" s="17">
        <f t="shared" si="1"/>
        <v>1026000</v>
      </c>
    </row>
    <row r="106" spans="1:5" x14ac:dyDescent="0.35">
      <c r="A106" s="13">
        <v>43292</v>
      </c>
      <c r="B106" s="5" t="s">
        <v>338</v>
      </c>
      <c r="C106" s="5">
        <v>5</v>
      </c>
      <c r="D106" s="17">
        <v>53000</v>
      </c>
      <c r="E106" s="17">
        <f t="shared" si="1"/>
        <v>265000</v>
      </c>
    </row>
    <row r="107" spans="1:5" x14ac:dyDescent="0.35">
      <c r="A107" s="13">
        <v>43292</v>
      </c>
      <c r="B107" s="5" t="s">
        <v>655</v>
      </c>
      <c r="C107" s="5">
        <v>7</v>
      </c>
      <c r="D107" s="17">
        <v>54000</v>
      </c>
      <c r="E107" s="17">
        <f t="shared" si="1"/>
        <v>378000</v>
      </c>
    </row>
    <row r="108" spans="1:5" x14ac:dyDescent="0.35">
      <c r="A108" s="13">
        <v>43292</v>
      </c>
      <c r="B108" s="5" t="s">
        <v>686</v>
      </c>
      <c r="C108" s="5">
        <v>10</v>
      </c>
      <c r="D108" s="17">
        <v>54000</v>
      </c>
      <c r="E108" s="17">
        <f t="shared" si="1"/>
        <v>540000</v>
      </c>
    </row>
    <row r="109" spans="1:5" x14ac:dyDescent="0.35">
      <c r="A109" s="13">
        <v>43292</v>
      </c>
      <c r="B109" s="5" t="s">
        <v>685</v>
      </c>
      <c r="C109" s="5">
        <v>3</v>
      </c>
      <c r="D109" s="17">
        <v>58000</v>
      </c>
      <c r="E109" s="17">
        <f t="shared" si="1"/>
        <v>174000</v>
      </c>
    </row>
    <row r="110" spans="1:5" x14ac:dyDescent="0.35">
      <c r="A110" s="13">
        <v>43292</v>
      </c>
      <c r="B110" s="5" t="s">
        <v>684</v>
      </c>
      <c r="C110" s="5">
        <v>26</v>
      </c>
      <c r="D110" s="17">
        <v>8500</v>
      </c>
      <c r="E110" s="17">
        <f t="shared" si="1"/>
        <v>221000</v>
      </c>
    </row>
    <row r="111" spans="1:5" x14ac:dyDescent="0.35">
      <c r="A111" s="13">
        <v>43293</v>
      </c>
      <c r="E111" s="17">
        <f t="shared" si="1"/>
        <v>0</v>
      </c>
    </row>
    <row r="112" spans="1:5" x14ac:dyDescent="0.35">
      <c r="A112" s="13">
        <v>43293</v>
      </c>
      <c r="B112" s="5" t="s">
        <v>690</v>
      </c>
      <c r="C112" s="5">
        <v>85</v>
      </c>
      <c r="D112" s="17">
        <v>2000</v>
      </c>
      <c r="E112" s="17">
        <f t="shared" si="1"/>
        <v>170000</v>
      </c>
    </row>
    <row r="113" spans="1:5" x14ac:dyDescent="0.35">
      <c r="A113" s="13">
        <v>43293</v>
      </c>
      <c r="B113" s="5" t="s">
        <v>691</v>
      </c>
      <c r="C113" s="5">
        <v>70</v>
      </c>
      <c r="D113" s="17">
        <v>43000</v>
      </c>
      <c r="E113" s="17">
        <f t="shared" si="1"/>
        <v>3010000</v>
      </c>
    </row>
    <row r="114" spans="1:5" x14ac:dyDescent="0.35">
      <c r="A114" s="13">
        <v>43293</v>
      </c>
      <c r="B114" s="5" t="s">
        <v>426</v>
      </c>
      <c r="C114" s="5">
        <v>2</v>
      </c>
      <c r="D114" s="17">
        <v>10000</v>
      </c>
      <c r="E114" s="17">
        <f t="shared" si="1"/>
        <v>20000</v>
      </c>
    </row>
    <row r="115" spans="1:5" x14ac:dyDescent="0.35">
      <c r="A115" s="13">
        <v>43293</v>
      </c>
      <c r="B115" s="5" t="s">
        <v>661</v>
      </c>
      <c r="C115" s="5">
        <v>1</v>
      </c>
      <c r="D115" s="17">
        <v>35000</v>
      </c>
      <c r="E115" s="17">
        <f t="shared" si="1"/>
        <v>35000</v>
      </c>
    </row>
    <row r="116" spans="1:5" x14ac:dyDescent="0.35">
      <c r="A116" s="13">
        <v>43293</v>
      </c>
      <c r="B116" s="5" t="s">
        <v>692</v>
      </c>
      <c r="C116" s="5">
        <v>1</v>
      </c>
      <c r="D116" s="17">
        <v>13000</v>
      </c>
      <c r="E116" s="17">
        <f t="shared" si="1"/>
        <v>13000</v>
      </c>
    </row>
    <row r="117" spans="1:5" x14ac:dyDescent="0.35">
      <c r="A117" s="13">
        <v>43293</v>
      </c>
      <c r="B117" s="5" t="s">
        <v>33</v>
      </c>
      <c r="C117" s="5">
        <v>4</v>
      </c>
      <c r="D117" s="17">
        <v>49000</v>
      </c>
      <c r="E117" s="17">
        <f t="shared" si="1"/>
        <v>196000</v>
      </c>
    </row>
    <row r="118" spans="1:5" x14ac:dyDescent="0.35">
      <c r="A118" s="13">
        <v>43293</v>
      </c>
      <c r="B118" s="5" t="s">
        <v>52</v>
      </c>
      <c r="C118" s="5">
        <v>1</v>
      </c>
      <c r="D118" s="17">
        <v>47000</v>
      </c>
      <c r="E118" s="17">
        <f t="shared" si="1"/>
        <v>47000</v>
      </c>
    </row>
    <row r="119" spans="1:5" x14ac:dyDescent="0.35">
      <c r="A119" s="13">
        <v>43293</v>
      </c>
      <c r="B119" s="5" t="s">
        <v>671</v>
      </c>
      <c r="C119" s="5">
        <v>1</v>
      </c>
      <c r="D119" s="17">
        <v>46000</v>
      </c>
      <c r="E119" s="17">
        <f t="shared" si="1"/>
        <v>46000</v>
      </c>
    </row>
    <row r="120" spans="1:5" x14ac:dyDescent="0.35">
      <c r="A120" s="13">
        <v>43293</v>
      </c>
      <c r="B120" s="5" t="s">
        <v>226</v>
      </c>
      <c r="C120" s="5">
        <v>1</v>
      </c>
      <c r="D120" s="17">
        <v>50000</v>
      </c>
      <c r="E120" s="17">
        <f t="shared" si="1"/>
        <v>50000</v>
      </c>
    </row>
    <row r="121" spans="1:5" x14ac:dyDescent="0.35">
      <c r="A121" s="13">
        <v>43293</v>
      </c>
      <c r="B121" s="5" t="s">
        <v>136</v>
      </c>
      <c r="C121" s="5">
        <v>7</v>
      </c>
      <c r="D121" s="17">
        <v>57000</v>
      </c>
      <c r="E121" s="17">
        <f t="shared" si="1"/>
        <v>399000</v>
      </c>
    </row>
    <row r="122" spans="1:5" x14ac:dyDescent="0.35">
      <c r="A122" s="13">
        <v>43293</v>
      </c>
      <c r="B122" s="5" t="s">
        <v>226</v>
      </c>
      <c r="C122" s="5">
        <v>6</v>
      </c>
      <c r="D122" s="17">
        <v>50000</v>
      </c>
      <c r="E122" s="17">
        <f t="shared" si="1"/>
        <v>300000</v>
      </c>
    </row>
    <row r="123" spans="1:5" x14ac:dyDescent="0.35">
      <c r="A123" s="13">
        <v>43294</v>
      </c>
      <c r="E123" s="17">
        <f t="shared" si="1"/>
        <v>0</v>
      </c>
    </row>
    <row r="124" spans="1:5" x14ac:dyDescent="0.35">
      <c r="A124" s="13">
        <v>43294</v>
      </c>
      <c r="B124" s="5" t="s">
        <v>27</v>
      </c>
      <c r="C124" s="5">
        <v>7</v>
      </c>
      <c r="D124" s="17">
        <v>1600</v>
      </c>
      <c r="E124" s="17">
        <f t="shared" si="1"/>
        <v>11200</v>
      </c>
    </row>
    <row r="125" spans="1:5" x14ac:dyDescent="0.35">
      <c r="A125" s="13">
        <v>43294</v>
      </c>
      <c r="B125" s="5" t="s">
        <v>681</v>
      </c>
      <c r="C125" s="5">
        <v>10</v>
      </c>
      <c r="D125" s="17">
        <v>50000</v>
      </c>
      <c r="E125" s="17">
        <f t="shared" si="1"/>
        <v>500000</v>
      </c>
    </row>
    <row r="126" spans="1:5" x14ac:dyDescent="0.35">
      <c r="A126" s="13">
        <v>43294</v>
      </c>
      <c r="B126" s="5" t="s">
        <v>52</v>
      </c>
      <c r="C126" s="5">
        <v>6</v>
      </c>
      <c r="D126" s="17">
        <v>47500</v>
      </c>
      <c r="E126" s="17">
        <f t="shared" si="1"/>
        <v>285000</v>
      </c>
    </row>
    <row r="127" spans="1:5" x14ac:dyDescent="0.35">
      <c r="A127" s="13">
        <v>43294</v>
      </c>
      <c r="B127" s="5" t="s">
        <v>60</v>
      </c>
      <c r="C127" s="5">
        <v>11</v>
      </c>
      <c r="D127" s="17">
        <v>54000</v>
      </c>
      <c r="E127" s="17">
        <f t="shared" si="1"/>
        <v>594000</v>
      </c>
    </row>
    <row r="128" spans="1:5" x14ac:dyDescent="0.35">
      <c r="A128" s="13">
        <v>43294</v>
      </c>
      <c r="B128" s="5" t="s">
        <v>614</v>
      </c>
      <c r="C128" s="5">
        <v>5</v>
      </c>
      <c r="D128" s="17">
        <v>58000</v>
      </c>
      <c r="E128" s="17">
        <f t="shared" si="1"/>
        <v>290000</v>
      </c>
    </row>
    <row r="129" spans="1:5" x14ac:dyDescent="0.35">
      <c r="A129" s="13">
        <v>43294</v>
      </c>
      <c r="B129" s="5" t="s">
        <v>693</v>
      </c>
      <c r="E129" s="17">
        <f t="shared" si="1"/>
        <v>0</v>
      </c>
    </row>
    <row r="130" spans="1:5" x14ac:dyDescent="0.35">
      <c r="A130" s="13">
        <v>43294</v>
      </c>
      <c r="B130" s="5" t="s">
        <v>34</v>
      </c>
      <c r="C130" s="5">
        <v>7</v>
      </c>
      <c r="D130" s="17">
        <v>48000</v>
      </c>
      <c r="E130" s="17">
        <f t="shared" si="1"/>
        <v>336000</v>
      </c>
    </row>
    <row r="131" spans="1:5" x14ac:dyDescent="0.35">
      <c r="A131" s="13">
        <v>43294</v>
      </c>
      <c r="B131" s="5" t="s">
        <v>7</v>
      </c>
      <c r="C131" s="5">
        <v>3</v>
      </c>
      <c r="D131" s="17">
        <v>47000</v>
      </c>
      <c r="E131" s="17">
        <f t="shared" si="1"/>
        <v>141000</v>
      </c>
    </row>
    <row r="132" spans="1:5" x14ac:dyDescent="0.35">
      <c r="A132" s="13">
        <v>43294</v>
      </c>
      <c r="B132" s="5" t="s">
        <v>34</v>
      </c>
      <c r="C132" s="5">
        <v>47</v>
      </c>
      <c r="D132" s="17">
        <v>43000</v>
      </c>
      <c r="E132" s="17">
        <f t="shared" ref="E132:E195" si="2">D132*C132</f>
        <v>2021000</v>
      </c>
    </row>
    <row r="133" spans="1:5" x14ac:dyDescent="0.35">
      <c r="A133" s="13">
        <v>43294</v>
      </c>
      <c r="B133" s="5" t="s">
        <v>694</v>
      </c>
      <c r="C133" s="5">
        <v>8</v>
      </c>
      <c r="D133" s="17">
        <v>44000</v>
      </c>
      <c r="E133" s="17">
        <f t="shared" si="2"/>
        <v>352000</v>
      </c>
    </row>
    <row r="134" spans="1:5" x14ac:dyDescent="0.35">
      <c r="A134" s="13">
        <v>43294</v>
      </c>
      <c r="B134" s="5" t="s">
        <v>565</v>
      </c>
      <c r="C134" s="5">
        <v>18</v>
      </c>
      <c r="D134" s="17">
        <v>10000</v>
      </c>
      <c r="E134" s="17">
        <f t="shared" si="2"/>
        <v>180000</v>
      </c>
    </row>
    <row r="135" spans="1:5" x14ac:dyDescent="0.35">
      <c r="A135" s="13">
        <v>43294</v>
      </c>
      <c r="B135" s="5" t="s">
        <v>695</v>
      </c>
      <c r="C135" s="5">
        <v>4</v>
      </c>
      <c r="D135" s="17">
        <v>2000</v>
      </c>
      <c r="E135" s="17">
        <f t="shared" si="2"/>
        <v>8000</v>
      </c>
    </row>
    <row r="136" spans="1:5" x14ac:dyDescent="0.35">
      <c r="A136" s="13">
        <v>43295</v>
      </c>
      <c r="E136" s="17">
        <f t="shared" si="2"/>
        <v>0</v>
      </c>
    </row>
    <row r="137" spans="1:5" x14ac:dyDescent="0.35">
      <c r="A137" s="13">
        <v>43295</v>
      </c>
      <c r="B137" s="5" t="s">
        <v>187</v>
      </c>
      <c r="C137" s="5">
        <v>1</v>
      </c>
      <c r="D137" s="17">
        <v>47000</v>
      </c>
      <c r="E137" s="17">
        <f t="shared" si="2"/>
        <v>47000</v>
      </c>
    </row>
    <row r="138" spans="1:5" x14ac:dyDescent="0.35">
      <c r="A138" s="13">
        <v>43295</v>
      </c>
      <c r="B138" s="5" t="s">
        <v>697</v>
      </c>
      <c r="C138" s="5">
        <v>7</v>
      </c>
      <c r="D138" s="17">
        <v>3000</v>
      </c>
      <c r="E138" s="17">
        <f t="shared" si="2"/>
        <v>21000</v>
      </c>
    </row>
    <row r="139" spans="1:5" x14ac:dyDescent="0.35">
      <c r="A139" s="13">
        <v>43295</v>
      </c>
      <c r="B139" s="5" t="s">
        <v>698</v>
      </c>
      <c r="C139" s="5">
        <v>1</v>
      </c>
      <c r="D139" s="17">
        <v>26000</v>
      </c>
      <c r="E139" s="17">
        <f t="shared" si="2"/>
        <v>26000</v>
      </c>
    </row>
    <row r="140" spans="1:5" x14ac:dyDescent="0.35">
      <c r="A140" s="13">
        <v>43295</v>
      </c>
      <c r="B140" s="5" t="s">
        <v>699</v>
      </c>
      <c r="C140" s="5">
        <v>20</v>
      </c>
      <c r="D140" s="17">
        <v>4000</v>
      </c>
      <c r="E140" s="17">
        <f t="shared" si="2"/>
        <v>80000</v>
      </c>
    </row>
    <row r="141" spans="1:5" x14ac:dyDescent="0.35">
      <c r="A141" s="13">
        <v>43295</v>
      </c>
      <c r="B141" s="5" t="s">
        <v>630</v>
      </c>
      <c r="C141" s="5">
        <v>18</v>
      </c>
      <c r="D141" s="17">
        <v>45000</v>
      </c>
      <c r="E141" s="17">
        <f t="shared" si="2"/>
        <v>810000</v>
      </c>
    </row>
    <row r="142" spans="1:5" x14ac:dyDescent="0.35">
      <c r="A142" s="13">
        <v>43295</v>
      </c>
      <c r="B142" s="5" t="s">
        <v>160</v>
      </c>
      <c r="C142" s="5">
        <v>10</v>
      </c>
      <c r="D142" s="17">
        <v>57000</v>
      </c>
      <c r="E142" s="17">
        <f t="shared" si="2"/>
        <v>570000</v>
      </c>
    </row>
    <row r="143" spans="1:5" x14ac:dyDescent="0.35">
      <c r="A143" s="13">
        <v>43295</v>
      </c>
      <c r="B143" s="5" t="s">
        <v>142</v>
      </c>
      <c r="C143" s="5">
        <v>3</v>
      </c>
      <c r="D143" s="17">
        <v>60000</v>
      </c>
      <c r="E143" s="17">
        <f t="shared" si="2"/>
        <v>180000</v>
      </c>
    </row>
    <row r="144" spans="1:5" x14ac:dyDescent="0.35">
      <c r="A144" s="13">
        <v>43295</v>
      </c>
      <c r="B144" s="5" t="s">
        <v>700</v>
      </c>
      <c r="C144" s="5">
        <v>16</v>
      </c>
      <c r="D144" s="17">
        <v>38000</v>
      </c>
      <c r="E144" s="17">
        <f t="shared" si="2"/>
        <v>608000</v>
      </c>
    </row>
    <row r="145" spans="1:5" x14ac:dyDescent="0.35">
      <c r="A145" s="13">
        <v>43295</v>
      </c>
      <c r="B145" s="5" t="s">
        <v>701</v>
      </c>
      <c r="C145" s="5">
        <v>1</v>
      </c>
      <c r="D145" s="17">
        <v>128000</v>
      </c>
      <c r="E145" s="17">
        <f t="shared" si="2"/>
        <v>128000</v>
      </c>
    </row>
    <row r="146" spans="1:5" x14ac:dyDescent="0.35">
      <c r="A146" s="13">
        <v>43295</v>
      </c>
      <c r="B146" s="5" t="s">
        <v>187</v>
      </c>
      <c r="C146" s="5">
        <v>1</v>
      </c>
      <c r="D146" s="17">
        <v>47000</v>
      </c>
      <c r="E146" s="17">
        <f t="shared" si="2"/>
        <v>47000</v>
      </c>
    </row>
    <row r="147" spans="1:5" x14ac:dyDescent="0.35">
      <c r="A147" s="13">
        <v>43295</v>
      </c>
      <c r="B147" s="5" t="s">
        <v>11</v>
      </c>
      <c r="C147" s="5">
        <v>60</v>
      </c>
      <c r="D147" s="17">
        <v>1600</v>
      </c>
      <c r="E147" s="17">
        <f t="shared" si="2"/>
        <v>96000</v>
      </c>
    </row>
    <row r="148" spans="1:5" x14ac:dyDescent="0.35">
      <c r="A148" s="13">
        <v>43295</v>
      </c>
      <c r="B148" s="5" t="s">
        <v>75</v>
      </c>
      <c r="C148" s="5">
        <v>4</v>
      </c>
      <c r="D148" s="17">
        <v>50000</v>
      </c>
      <c r="E148" s="17">
        <f t="shared" si="2"/>
        <v>200000</v>
      </c>
    </row>
    <row r="149" spans="1:5" x14ac:dyDescent="0.35">
      <c r="A149" s="13">
        <v>43295</v>
      </c>
      <c r="B149" s="5" t="s">
        <v>4</v>
      </c>
      <c r="C149" s="5">
        <v>3</v>
      </c>
      <c r="D149" s="17">
        <v>39000</v>
      </c>
      <c r="E149" s="17">
        <f t="shared" si="2"/>
        <v>117000</v>
      </c>
    </row>
    <row r="150" spans="1:5" x14ac:dyDescent="0.35">
      <c r="A150" s="13">
        <v>43295</v>
      </c>
      <c r="B150" s="5" t="s">
        <v>696</v>
      </c>
      <c r="C150" s="5">
        <v>1</v>
      </c>
      <c r="D150" s="17">
        <v>180000</v>
      </c>
      <c r="E150" s="17">
        <f t="shared" si="2"/>
        <v>180000</v>
      </c>
    </row>
    <row r="151" spans="1:5" x14ac:dyDescent="0.35">
      <c r="A151" s="13">
        <v>43297</v>
      </c>
      <c r="E151" s="17">
        <f t="shared" si="2"/>
        <v>0</v>
      </c>
    </row>
    <row r="152" spans="1:5" x14ac:dyDescent="0.35">
      <c r="A152" s="13">
        <v>43297</v>
      </c>
      <c r="B152" s="5" t="s">
        <v>622</v>
      </c>
      <c r="C152" s="5">
        <v>20</v>
      </c>
      <c r="D152" s="17">
        <v>53000</v>
      </c>
      <c r="E152" s="17">
        <f t="shared" si="2"/>
        <v>1060000</v>
      </c>
    </row>
    <row r="153" spans="1:5" x14ac:dyDescent="0.35">
      <c r="A153" s="13">
        <v>43297</v>
      </c>
      <c r="B153" s="5" t="s">
        <v>614</v>
      </c>
      <c r="C153" s="5">
        <v>4</v>
      </c>
      <c r="D153" s="17">
        <v>58000</v>
      </c>
      <c r="E153" s="17">
        <f t="shared" si="2"/>
        <v>232000</v>
      </c>
    </row>
    <row r="154" spans="1:5" x14ac:dyDescent="0.35">
      <c r="A154" s="13">
        <v>43297</v>
      </c>
      <c r="B154" s="5" t="s">
        <v>685</v>
      </c>
      <c r="C154" s="5">
        <v>19</v>
      </c>
      <c r="D154" s="17">
        <v>58000</v>
      </c>
      <c r="E154" s="17">
        <f t="shared" si="2"/>
        <v>1102000</v>
      </c>
    </row>
    <row r="155" spans="1:5" x14ac:dyDescent="0.35">
      <c r="A155" s="13">
        <v>43297</v>
      </c>
      <c r="B155" s="5" t="s">
        <v>367</v>
      </c>
      <c r="C155" s="5">
        <v>4</v>
      </c>
      <c r="D155" s="17">
        <v>53000</v>
      </c>
      <c r="E155" s="17">
        <f t="shared" si="2"/>
        <v>212000</v>
      </c>
    </row>
    <row r="156" spans="1:5" x14ac:dyDescent="0.35">
      <c r="A156" s="13">
        <v>43297</v>
      </c>
      <c r="B156" s="5" t="s">
        <v>702</v>
      </c>
      <c r="C156" s="5">
        <v>39</v>
      </c>
      <c r="D156" s="17">
        <v>9500</v>
      </c>
      <c r="E156" s="17">
        <f t="shared" si="2"/>
        <v>370500</v>
      </c>
    </row>
    <row r="157" spans="1:5" x14ac:dyDescent="0.35">
      <c r="A157" s="13">
        <v>43297</v>
      </c>
      <c r="B157" s="5" t="s">
        <v>57</v>
      </c>
      <c r="C157" s="5">
        <v>1</v>
      </c>
      <c r="D157" s="17">
        <v>38000</v>
      </c>
      <c r="E157" s="17">
        <f t="shared" si="2"/>
        <v>38000</v>
      </c>
    </row>
    <row r="158" spans="1:5" x14ac:dyDescent="0.35">
      <c r="A158" s="13">
        <v>43297</v>
      </c>
      <c r="B158" s="5" t="s">
        <v>51</v>
      </c>
      <c r="C158" s="5">
        <v>45</v>
      </c>
      <c r="D158" s="17">
        <v>3500</v>
      </c>
      <c r="E158" s="17">
        <f t="shared" si="2"/>
        <v>157500</v>
      </c>
    </row>
    <row r="159" spans="1:5" x14ac:dyDescent="0.35">
      <c r="A159" s="13">
        <v>43297</v>
      </c>
      <c r="B159" s="5" t="s">
        <v>68</v>
      </c>
      <c r="C159" s="5">
        <v>5</v>
      </c>
      <c r="D159" s="17">
        <v>15000</v>
      </c>
      <c r="E159" s="17">
        <f t="shared" si="2"/>
        <v>75000</v>
      </c>
    </row>
    <row r="160" spans="1:5" x14ac:dyDescent="0.35">
      <c r="A160" s="13">
        <v>43297</v>
      </c>
      <c r="B160" s="5" t="s">
        <v>112</v>
      </c>
      <c r="C160" s="5">
        <v>100</v>
      </c>
      <c r="D160" s="17">
        <v>42000</v>
      </c>
      <c r="E160" s="17">
        <f t="shared" si="2"/>
        <v>4200000</v>
      </c>
    </row>
    <row r="161" spans="1:5" x14ac:dyDescent="0.35">
      <c r="A161" s="13">
        <v>43297</v>
      </c>
      <c r="B161" s="5" t="s">
        <v>565</v>
      </c>
      <c r="C161" s="5">
        <v>6</v>
      </c>
      <c r="D161" s="17">
        <v>10000</v>
      </c>
      <c r="E161" s="17">
        <f t="shared" si="2"/>
        <v>60000</v>
      </c>
    </row>
    <row r="162" spans="1:5" x14ac:dyDescent="0.35">
      <c r="A162" s="13">
        <v>43297</v>
      </c>
      <c r="B162" s="5" t="s">
        <v>404</v>
      </c>
      <c r="C162" s="5">
        <v>1</v>
      </c>
      <c r="D162" s="17">
        <v>48000</v>
      </c>
      <c r="E162" s="17">
        <f t="shared" si="2"/>
        <v>48000</v>
      </c>
    </row>
    <row r="163" spans="1:5" x14ac:dyDescent="0.35">
      <c r="A163" s="13">
        <v>43297</v>
      </c>
      <c r="B163" s="5" t="s">
        <v>187</v>
      </c>
      <c r="C163" s="5">
        <v>40</v>
      </c>
      <c r="D163" s="17">
        <v>44000</v>
      </c>
      <c r="E163" s="17">
        <f t="shared" si="2"/>
        <v>1760000</v>
      </c>
    </row>
    <row r="164" spans="1:5" x14ac:dyDescent="0.35">
      <c r="A164" s="13">
        <v>43297</v>
      </c>
      <c r="B164" s="5" t="s">
        <v>34</v>
      </c>
      <c r="C164" s="5">
        <v>5</v>
      </c>
      <c r="D164" s="17">
        <v>43000</v>
      </c>
      <c r="E164" s="17">
        <f t="shared" si="2"/>
        <v>215000</v>
      </c>
    </row>
    <row r="165" spans="1:5" x14ac:dyDescent="0.35">
      <c r="A165" s="13">
        <v>43297</v>
      </c>
      <c r="B165" s="5" t="s">
        <v>214</v>
      </c>
      <c r="C165" s="5">
        <v>2</v>
      </c>
      <c r="D165" s="17">
        <v>43000</v>
      </c>
      <c r="E165" s="17">
        <f t="shared" si="2"/>
        <v>86000</v>
      </c>
    </row>
    <row r="166" spans="1:5" x14ac:dyDescent="0.35">
      <c r="A166" s="13">
        <v>43297</v>
      </c>
      <c r="B166" s="5" t="s">
        <v>12</v>
      </c>
      <c r="C166" s="5">
        <v>1</v>
      </c>
      <c r="D166" s="17">
        <v>53000</v>
      </c>
      <c r="E166" s="17">
        <f t="shared" si="2"/>
        <v>53000</v>
      </c>
    </row>
    <row r="167" spans="1:5" x14ac:dyDescent="0.35">
      <c r="A167" s="13">
        <v>43298</v>
      </c>
      <c r="E167" s="17">
        <f t="shared" si="2"/>
        <v>0</v>
      </c>
    </row>
    <row r="168" spans="1:5" x14ac:dyDescent="0.35">
      <c r="A168" s="13">
        <v>43298</v>
      </c>
      <c r="B168" s="5" t="s">
        <v>136</v>
      </c>
      <c r="C168" s="5">
        <v>1</v>
      </c>
      <c r="D168" s="17">
        <v>57000</v>
      </c>
      <c r="E168" s="17">
        <f t="shared" si="2"/>
        <v>57000</v>
      </c>
    </row>
    <row r="169" spans="1:5" x14ac:dyDescent="0.35">
      <c r="A169" s="13">
        <v>43298</v>
      </c>
      <c r="B169" s="5" t="s">
        <v>663</v>
      </c>
      <c r="C169" s="5">
        <v>37</v>
      </c>
      <c r="D169" s="17">
        <v>58000</v>
      </c>
      <c r="E169" s="17">
        <f t="shared" si="2"/>
        <v>2146000</v>
      </c>
    </row>
    <row r="170" spans="1:5" x14ac:dyDescent="0.35">
      <c r="A170" s="13">
        <v>43298</v>
      </c>
      <c r="B170" s="5" t="s">
        <v>591</v>
      </c>
      <c r="C170" s="5">
        <v>4</v>
      </c>
      <c r="D170" s="17">
        <v>60000</v>
      </c>
      <c r="E170" s="17">
        <f t="shared" si="2"/>
        <v>240000</v>
      </c>
    </row>
    <row r="171" spans="1:5" x14ac:dyDescent="0.35">
      <c r="A171" s="13">
        <v>43298</v>
      </c>
      <c r="B171" s="5" t="s">
        <v>367</v>
      </c>
      <c r="C171" s="5">
        <v>2</v>
      </c>
      <c r="D171" s="17">
        <v>53000</v>
      </c>
      <c r="E171" s="17">
        <f t="shared" si="2"/>
        <v>106000</v>
      </c>
    </row>
    <row r="172" spans="1:5" x14ac:dyDescent="0.35">
      <c r="A172" s="13">
        <v>43298</v>
      </c>
      <c r="B172" s="5" t="s">
        <v>663</v>
      </c>
      <c r="C172" s="5">
        <v>10</v>
      </c>
      <c r="D172" s="17">
        <v>58000</v>
      </c>
      <c r="E172" s="17">
        <f t="shared" si="2"/>
        <v>580000</v>
      </c>
    </row>
    <row r="173" spans="1:5" x14ac:dyDescent="0.35">
      <c r="A173" s="13">
        <v>43298</v>
      </c>
      <c r="B173" s="5" t="s">
        <v>703</v>
      </c>
      <c r="C173" s="5">
        <v>13</v>
      </c>
      <c r="D173" s="17">
        <v>57000</v>
      </c>
      <c r="E173" s="17">
        <f t="shared" si="2"/>
        <v>741000</v>
      </c>
    </row>
    <row r="174" spans="1:5" x14ac:dyDescent="0.35">
      <c r="A174" s="13">
        <v>43298</v>
      </c>
      <c r="B174" s="5" t="s">
        <v>25</v>
      </c>
      <c r="C174" s="5">
        <v>4</v>
      </c>
      <c r="D174" s="17">
        <v>54000</v>
      </c>
      <c r="E174" s="17">
        <f t="shared" si="2"/>
        <v>216000</v>
      </c>
    </row>
    <row r="175" spans="1:5" x14ac:dyDescent="0.35">
      <c r="A175" s="13">
        <v>43298</v>
      </c>
      <c r="B175" s="5" t="s">
        <v>575</v>
      </c>
      <c r="C175" s="5">
        <v>3</v>
      </c>
      <c r="D175" s="17">
        <v>58000</v>
      </c>
      <c r="E175" s="17">
        <f t="shared" si="2"/>
        <v>174000</v>
      </c>
    </row>
    <row r="176" spans="1:5" x14ac:dyDescent="0.35">
      <c r="A176" s="13">
        <v>43298</v>
      </c>
      <c r="B176" s="5" t="s">
        <v>168</v>
      </c>
      <c r="C176" s="5">
        <v>10</v>
      </c>
      <c r="D176" s="17">
        <v>1600</v>
      </c>
      <c r="E176" s="17">
        <f t="shared" si="2"/>
        <v>16000</v>
      </c>
    </row>
    <row r="177" spans="1:5" x14ac:dyDescent="0.35">
      <c r="A177" s="13">
        <v>43298</v>
      </c>
      <c r="B177" s="5" t="s">
        <v>187</v>
      </c>
      <c r="C177" s="5">
        <v>17</v>
      </c>
      <c r="D177" s="17">
        <v>44000</v>
      </c>
      <c r="E177" s="17">
        <f t="shared" si="2"/>
        <v>748000</v>
      </c>
    </row>
    <row r="178" spans="1:5" x14ac:dyDescent="0.35">
      <c r="A178" s="13">
        <v>43298</v>
      </c>
      <c r="B178" s="5" t="s">
        <v>214</v>
      </c>
      <c r="C178" s="5">
        <v>1</v>
      </c>
      <c r="D178" s="17">
        <v>43000</v>
      </c>
      <c r="E178" s="17">
        <f t="shared" si="2"/>
        <v>43000</v>
      </c>
    </row>
    <row r="179" spans="1:5" x14ac:dyDescent="0.35">
      <c r="A179" s="13">
        <v>43299</v>
      </c>
      <c r="E179" s="17">
        <f t="shared" si="2"/>
        <v>0</v>
      </c>
    </row>
    <row r="180" spans="1:5" x14ac:dyDescent="0.35">
      <c r="A180" s="13">
        <v>43299</v>
      </c>
      <c r="B180" s="5" t="s">
        <v>704</v>
      </c>
      <c r="C180" s="5">
        <v>100</v>
      </c>
      <c r="D180" s="17">
        <v>57000</v>
      </c>
      <c r="E180" s="17">
        <f t="shared" si="2"/>
        <v>5700000</v>
      </c>
    </row>
    <row r="181" spans="1:5" x14ac:dyDescent="0.35">
      <c r="A181" s="13">
        <v>43299</v>
      </c>
      <c r="B181" s="5" t="s">
        <v>73</v>
      </c>
      <c r="C181" s="5">
        <v>12</v>
      </c>
      <c r="D181" s="17">
        <v>43000</v>
      </c>
      <c r="E181" s="17">
        <f t="shared" si="2"/>
        <v>516000</v>
      </c>
    </row>
    <row r="182" spans="1:5" x14ac:dyDescent="0.35">
      <c r="A182" s="13">
        <v>43299</v>
      </c>
      <c r="B182" s="5" t="s">
        <v>27</v>
      </c>
      <c r="C182" s="5">
        <v>5</v>
      </c>
      <c r="D182" s="17">
        <v>1600</v>
      </c>
      <c r="E182" s="17">
        <f t="shared" si="2"/>
        <v>8000</v>
      </c>
    </row>
    <row r="183" spans="1:5" x14ac:dyDescent="0.35">
      <c r="A183" s="13">
        <v>43299</v>
      </c>
      <c r="B183" s="5" t="s">
        <v>705</v>
      </c>
      <c r="C183" s="5">
        <v>1</v>
      </c>
      <c r="D183" s="17">
        <v>15000</v>
      </c>
      <c r="E183" s="17">
        <f t="shared" si="2"/>
        <v>15000</v>
      </c>
    </row>
    <row r="184" spans="1:5" x14ac:dyDescent="0.35">
      <c r="A184" s="13">
        <v>43299</v>
      </c>
      <c r="B184" s="5" t="s">
        <v>390</v>
      </c>
      <c r="C184" s="5">
        <v>8</v>
      </c>
      <c r="D184" s="17">
        <v>52000</v>
      </c>
      <c r="E184" s="17">
        <f t="shared" si="2"/>
        <v>416000</v>
      </c>
    </row>
    <row r="185" spans="1:5" x14ac:dyDescent="0.35">
      <c r="A185" s="13">
        <v>43299</v>
      </c>
      <c r="B185" s="5" t="s">
        <v>157</v>
      </c>
      <c r="C185" s="5">
        <v>14</v>
      </c>
      <c r="D185" s="17">
        <v>53000</v>
      </c>
      <c r="E185" s="17">
        <f t="shared" si="2"/>
        <v>742000</v>
      </c>
    </row>
    <row r="186" spans="1:5" x14ac:dyDescent="0.35">
      <c r="A186" s="13">
        <v>43299</v>
      </c>
      <c r="B186" s="5" t="s">
        <v>491</v>
      </c>
      <c r="C186" s="5">
        <v>9</v>
      </c>
      <c r="D186" s="17">
        <v>54000</v>
      </c>
      <c r="E186" s="17">
        <f t="shared" si="2"/>
        <v>486000</v>
      </c>
    </row>
    <row r="187" spans="1:5" x14ac:dyDescent="0.35">
      <c r="A187" s="13">
        <v>43300</v>
      </c>
      <c r="E187" s="17">
        <f t="shared" si="2"/>
        <v>0</v>
      </c>
    </row>
    <row r="188" spans="1:5" x14ac:dyDescent="0.35">
      <c r="A188" s="13">
        <v>43300</v>
      </c>
      <c r="B188" s="5" t="s">
        <v>334</v>
      </c>
      <c r="C188" s="5">
        <v>1</v>
      </c>
      <c r="D188" s="17">
        <v>38000</v>
      </c>
      <c r="E188" s="17">
        <f t="shared" si="2"/>
        <v>38000</v>
      </c>
    </row>
    <row r="189" spans="1:5" x14ac:dyDescent="0.35">
      <c r="A189" s="13">
        <v>43300</v>
      </c>
      <c r="B189" s="5" t="s">
        <v>630</v>
      </c>
      <c r="C189" s="5">
        <v>5</v>
      </c>
      <c r="D189" s="17">
        <v>45000</v>
      </c>
      <c r="E189" s="17">
        <f t="shared" si="2"/>
        <v>225000</v>
      </c>
    </row>
    <row r="190" spans="1:5" x14ac:dyDescent="0.35">
      <c r="A190" s="13">
        <v>43300</v>
      </c>
      <c r="B190" s="5" t="s">
        <v>214</v>
      </c>
      <c r="C190" s="5">
        <v>2</v>
      </c>
      <c r="D190" s="17">
        <v>46500</v>
      </c>
      <c r="E190" s="17">
        <f t="shared" si="2"/>
        <v>93000</v>
      </c>
    </row>
    <row r="191" spans="1:5" x14ac:dyDescent="0.35">
      <c r="A191" s="13">
        <v>43300</v>
      </c>
      <c r="B191" s="5" t="s">
        <v>82</v>
      </c>
      <c r="C191" s="5">
        <v>22</v>
      </c>
      <c r="D191" s="17">
        <v>2000</v>
      </c>
      <c r="E191" s="17">
        <f t="shared" si="2"/>
        <v>44000</v>
      </c>
    </row>
    <row r="192" spans="1:5" x14ac:dyDescent="0.35">
      <c r="A192" s="13">
        <v>43300</v>
      </c>
      <c r="B192" s="5" t="s">
        <v>194</v>
      </c>
      <c r="C192" s="5">
        <v>4</v>
      </c>
      <c r="D192" s="17">
        <v>2000</v>
      </c>
      <c r="E192" s="17">
        <f t="shared" si="2"/>
        <v>8000</v>
      </c>
    </row>
    <row r="193" spans="1:5" x14ac:dyDescent="0.35">
      <c r="A193" s="13">
        <v>43301</v>
      </c>
      <c r="E193" s="17">
        <f t="shared" si="2"/>
        <v>0</v>
      </c>
    </row>
    <row r="194" spans="1:5" x14ac:dyDescent="0.35">
      <c r="A194" s="13">
        <v>43301</v>
      </c>
      <c r="B194" s="5" t="s">
        <v>404</v>
      </c>
      <c r="C194" s="5">
        <v>2</v>
      </c>
      <c r="D194" s="17">
        <v>47000</v>
      </c>
      <c r="E194" s="17">
        <f t="shared" si="2"/>
        <v>94000</v>
      </c>
    </row>
    <row r="195" spans="1:5" x14ac:dyDescent="0.35">
      <c r="A195" s="13">
        <v>43301</v>
      </c>
      <c r="B195" s="5" t="s">
        <v>706</v>
      </c>
      <c r="C195" s="5">
        <v>23</v>
      </c>
      <c r="D195" s="17">
        <v>4000</v>
      </c>
      <c r="E195" s="17">
        <f t="shared" si="2"/>
        <v>92000</v>
      </c>
    </row>
    <row r="196" spans="1:5" x14ac:dyDescent="0.35">
      <c r="A196" s="13">
        <v>43301</v>
      </c>
      <c r="B196" s="5" t="s">
        <v>224</v>
      </c>
      <c r="C196" s="5">
        <v>1</v>
      </c>
      <c r="D196" s="17">
        <v>53000</v>
      </c>
      <c r="E196" s="17">
        <f t="shared" ref="E196:E259" si="3">D196*C196</f>
        <v>53000</v>
      </c>
    </row>
    <row r="197" spans="1:5" x14ac:dyDescent="0.35">
      <c r="A197" s="13">
        <v>43301</v>
      </c>
      <c r="B197" s="5" t="s">
        <v>591</v>
      </c>
      <c r="C197" s="5">
        <v>1</v>
      </c>
      <c r="D197" s="17">
        <v>60000</v>
      </c>
      <c r="E197" s="17">
        <f t="shared" si="3"/>
        <v>60000</v>
      </c>
    </row>
    <row r="198" spans="1:5" x14ac:dyDescent="0.35">
      <c r="A198" s="13">
        <v>43301</v>
      </c>
      <c r="B198" s="5" t="s">
        <v>46</v>
      </c>
      <c r="C198" s="5">
        <v>1</v>
      </c>
      <c r="D198" s="17">
        <v>15000</v>
      </c>
      <c r="E198" s="17">
        <f t="shared" si="3"/>
        <v>15000</v>
      </c>
    </row>
    <row r="199" spans="1:5" x14ac:dyDescent="0.35">
      <c r="A199" s="13">
        <v>43301</v>
      </c>
      <c r="B199" s="5" t="s">
        <v>708</v>
      </c>
      <c r="C199" s="5">
        <v>2</v>
      </c>
      <c r="D199" s="17">
        <v>15000</v>
      </c>
      <c r="E199" s="17">
        <f t="shared" si="3"/>
        <v>30000</v>
      </c>
    </row>
    <row r="200" spans="1:5" x14ac:dyDescent="0.35">
      <c r="A200" s="13">
        <v>43301</v>
      </c>
      <c r="B200" s="5" t="s">
        <v>707</v>
      </c>
      <c r="C200" s="5">
        <v>7</v>
      </c>
      <c r="D200" s="17">
        <v>4000</v>
      </c>
      <c r="E200" s="17">
        <f t="shared" si="3"/>
        <v>28000</v>
      </c>
    </row>
    <row r="201" spans="1:5" x14ac:dyDescent="0.35">
      <c r="A201" s="13">
        <v>43301</v>
      </c>
      <c r="B201" s="5" t="s">
        <v>160</v>
      </c>
      <c r="C201" s="5">
        <v>4</v>
      </c>
      <c r="D201" s="17">
        <v>57000</v>
      </c>
      <c r="E201" s="17">
        <f t="shared" si="3"/>
        <v>228000</v>
      </c>
    </row>
    <row r="202" spans="1:5" x14ac:dyDescent="0.35">
      <c r="A202" s="13">
        <v>43301</v>
      </c>
      <c r="B202" s="5" t="s">
        <v>709</v>
      </c>
      <c r="C202" s="5">
        <v>21</v>
      </c>
      <c r="D202" s="17">
        <v>8500</v>
      </c>
      <c r="E202" s="17">
        <f t="shared" si="3"/>
        <v>178500</v>
      </c>
    </row>
    <row r="203" spans="1:5" x14ac:dyDescent="0.35">
      <c r="A203" s="13">
        <v>43301</v>
      </c>
      <c r="B203" s="5" t="s">
        <v>75</v>
      </c>
      <c r="C203" s="5">
        <v>2</v>
      </c>
      <c r="D203" s="17">
        <v>50000</v>
      </c>
      <c r="E203" s="17">
        <f t="shared" si="3"/>
        <v>100000</v>
      </c>
    </row>
    <row r="204" spans="1:5" x14ac:dyDescent="0.35">
      <c r="A204" s="13">
        <v>43301</v>
      </c>
      <c r="B204" s="5" t="s">
        <v>404</v>
      </c>
      <c r="C204" s="5">
        <v>12</v>
      </c>
      <c r="D204" s="17">
        <v>48000</v>
      </c>
      <c r="E204" s="17">
        <f t="shared" si="3"/>
        <v>576000</v>
      </c>
    </row>
    <row r="205" spans="1:5" x14ac:dyDescent="0.35">
      <c r="A205" s="13">
        <v>43302</v>
      </c>
      <c r="E205" s="17">
        <f t="shared" si="3"/>
        <v>0</v>
      </c>
    </row>
    <row r="206" spans="1:5" x14ac:dyDescent="0.35">
      <c r="A206" s="13">
        <v>43302</v>
      </c>
      <c r="B206" s="5" t="s">
        <v>6</v>
      </c>
      <c r="C206" s="5">
        <v>70</v>
      </c>
      <c r="D206" s="17">
        <v>52000</v>
      </c>
      <c r="E206" s="17">
        <f t="shared" si="3"/>
        <v>3640000</v>
      </c>
    </row>
    <row r="207" spans="1:5" x14ac:dyDescent="0.35">
      <c r="A207" s="13">
        <v>43302</v>
      </c>
      <c r="B207" s="5" t="s">
        <v>82</v>
      </c>
      <c r="C207" s="5">
        <v>8</v>
      </c>
      <c r="D207" s="17">
        <v>2000</v>
      </c>
      <c r="E207" s="17">
        <f t="shared" si="3"/>
        <v>16000</v>
      </c>
    </row>
    <row r="208" spans="1:5" x14ac:dyDescent="0.35">
      <c r="A208" s="13">
        <v>43302</v>
      </c>
      <c r="B208" s="5" t="s">
        <v>483</v>
      </c>
      <c r="C208" s="5">
        <v>1</v>
      </c>
      <c r="D208" s="17">
        <v>54000</v>
      </c>
      <c r="E208" s="17">
        <f t="shared" si="3"/>
        <v>54000</v>
      </c>
    </row>
    <row r="209" spans="1:5" x14ac:dyDescent="0.35">
      <c r="A209" s="13">
        <v>43302</v>
      </c>
      <c r="B209" s="5" t="s">
        <v>700</v>
      </c>
      <c r="C209" s="5">
        <v>43</v>
      </c>
      <c r="D209" s="17">
        <v>37000</v>
      </c>
      <c r="E209" s="17">
        <f t="shared" si="3"/>
        <v>1591000</v>
      </c>
    </row>
    <row r="210" spans="1:5" x14ac:dyDescent="0.35">
      <c r="A210" s="13">
        <v>43302</v>
      </c>
      <c r="B210" s="5" t="s">
        <v>109</v>
      </c>
      <c r="C210" s="5">
        <v>19</v>
      </c>
      <c r="D210" s="17">
        <v>39000</v>
      </c>
      <c r="E210" s="17">
        <f t="shared" si="3"/>
        <v>741000</v>
      </c>
    </row>
    <row r="211" spans="1:5" x14ac:dyDescent="0.35">
      <c r="A211" s="13">
        <v>43302</v>
      </c>
      <c r="B211" s="5" t="s">
        <v>29</v>
      </c>
      <c r="C211" s="5">
        <v>8</v>
      </c>
      <c r="D211" s="17">
        <v>55000</v>
      </c>
      <c r="E211" s="17">
        <f t="shared" si="3"/>
        <v>440000</v>
      </c>
    </row>
    <row r="212" spans="1:5" x14ac:dyDescent="0.35">
      <c r="A212" s="13">
        <v>43302</v>
      </c>
      <c r="B212" s="5" t="s">
        <v>710</v>
      </c>
      <c r="C212" s="5">
        <v>3</v>
      </c>
      <c r="D212" s="17">
        <v>54500</v>
      </c>
      <c r="E212" s="17">
        <f t="shared" si="3"/>
        <v>163500</v>
      </c>
    </row>
    <row r="213" spans="1:5" x14ac:dyDescent="0.35">
      <c r="A213" s="13">
        <v>43302</v>
      </c>
      <c r="B213" s="5" t="s">
        <v>711</v>
      </c>
      <c r="C213" s="5">
        <v>30</v>
      </c>
      <c r="D213" s="17">
        <v>3500</v>
      </c>
      <c r="E213" s="17">
        <f t="shared" si="3"/>
        <v>105000</v>
      </c>
    </row>
    <row r="214" spans="1:5" x14ac:dyDescent="0.35">
      <c r="A214" s="13">
        <v>43302</v>
      </c>
      <c r="B214" s="5" t="s">
        <v>429</v>
      </c>
      <c r="C214" s="5">
        <v>1</v>
      </c>
      <c r="D214" s="17">
        <v>98000</v>
      </c>
      <c r="E214" s="17">
        <f t="shared" si="3"/>
        <v>98000</v>
      </c>
    </row>
    <row r="215" spans="1:5" x14ac:dyDescent="0.35">
      <c r="A215" s="13">
        <v>43302</v>
      </c>
      <c r="B215" s="5" t="s">
        <v>712</v>
      </c>
      <c r="C215" s="5">
        <v>20</v>
      </c>
      <c r="D215" s="17">
        <v>8000</v>
      </c>
      <c r="E215" s="17">
        <f t="shared" si="3"/>
        <v>160000</v>
      </c>
    </row>
    <row r="216" spans="1:5" x14ac:dyDescent="0.35">
      <c r="A216" s="13">
        <v>43302</v>
      </c>
      <c r="B216" s="5" t="s">
        <v>713</v>
      </c>
      <c r="C216" s="5">
        <v>3</v>
      </c>
      <c r="D216" s="17">
        <v>54000</v>
      </c>
      <c r="E216" s="17">
        <f t="shared" si="3"/>
        <v>162000</v>
      </c>
    </row>
    <row r="217" spans="1:5" x14ac:dyDescent="0.35">
      <c r="A217" s="13">
        <v>43302</v>
      </c>
      <c r="B217" s="5" t="s">
        <v>714</v>
      </c>
      <c r="C217" s="5">
        <v>9</v>
      </c>
      <c r="D217" s="17">
        <v>56000</v>
      </c>
      <c r="E217" s="17">
        <f t="shared" si="3"/>
        <v>504000</v>
      </c>
    </row>
    <row r="218" spans="1:5" x14ac:dyDescent="0.35">
      <c r="A218" s="13">
        <v>43302</v>
      </c>
      <c r="B218" s="5" t="s">
        <v>404</v>
      </c>
      <c r="C218" s="5">
        <v>36</v>
      </c>
      <c r="D218" s="17">
        <v>46500</v>
      </c>
      <c r="E218" s="17">
        <f t="shared" si="3"/>
        <v>1674000</v>
      </c>
    </row>
    <row r="219" spans="1:5" x14ac:dyDescent="0.35">
      <c r="A219" s="13">
        <v>43302</v>
      </c>
      <c r="B219" s="5" t="s">
        <v>501</v>
      </c>
      <c r="C219" s="5">
        <v>5</v>
      </c>
      <c r="D219" s="17">
        <v>58000</v>
      </c>
      <c r="E219" s="17">
        <f t="shared" si="3"/>
        <v>290000</v>
      </c>
    </row>
    <row r="220" spans="1:5" x14ac:dyDescent="0.35">
      <c r="A220" s="13">
        <v>43302</v>
      </c>
      <c r="B220" s="5" t="s">
        <v>698</v>
      </c>
      <c r="C220" s="5">
        <v>1</v>
      </c>
      <c r="D220" s="17">
        <v>28000</v>
      </c>
      <c r="E220" s="17">
        <f t="shared" si="3"/>
        <v>28000</v>
      </c>
    </row>
    <row r="221" spans="1:5" x14ac:dyDescent="0.35">
      <c r="A221" s="13">
        <v>43304</v>
      </c>
      <c r="E221" s="17">
        <f t="shared" si="3"/>
        <v>0</v>
      </c>
    </row>
    <row r="222" spans="1:5" x14ac:dyDescent="0.35">
      <c r="A222" s="13">
        <v>43304</v>
      </c>
      <c r="B222" s="5" t="s">
        <v>109</v>
      </c>
      <c r="C222" s="5">
        <v>60</v>
      </c>
      <c r="D222" s="17">
        <v>35500</v>
      </c>
      <c r="E222" s="17">
        <f t="shared" si="3"/>
        <v>2130000</v>
      </c>
    </row>
    <row r="223" spans="1:5" x14ac:dyDescent="0.35">
      <c r="A223" s="13">
        <v>43304</v>
      </c>
      <c r="B223" s="5" t="s">
        <v>187</v>
      </c>
      <c r="C223" s="5">
        <v>9</v>
      </c>
      <c r="D223" s="17">
        <v>44000</v>
      </c>
      <c r="E223" s="17">
        <f t="shared" si="3"/>
        <v>396000</v>
      </c>
    </row>
    <row r="224" spans="1:5" x14ac:dyDescent="0.35">
      <c r="A224" s="13">
        <v>43304</v>
      </c>
      <c r="B224" s="5" t="s">
        <v>471</v>
      </c>
      <c r="C224" s="5">
        <v>6</v>
      </c>
      <c r="D224" s="17">
        <v>57000</v>
      </c>
      <c r="E224" s="17">
        <f t="shared" si="3"/>
        <v>342000</v>
      </c>
    </row>
    <row r="225" spans="1:5" x14ac:dyDescent="0.35">
      <c r="A225" s="13">
        <v>43304</v>
      </c>
      <c r="B225" s="5" t="s">
        <v>643</v>
      </c>
      <c r="C225" s="5">
        <v>1</v>
      </c>
      <c r="D225" s="17">
        <v>15000</v>
      </c>
      <c r="E225" s="17">
        <f t="shared" si="3"/>
        <v>15000</v>
      </c>
    </row>
    <row r="226" spans="1:5" x14ac:dyDescent="0.35">
      <c r="A226" s="13">
        <v>43304</v>
      </c>
      <c r="B226" s="5" t="s">
        <v>4</v>
      </c>
      <c r="C226" s="5">
        <v>24</v>
      </c>
      <c r="D226" s="17">
        <v>39000</v>
      </c>
      <c r="E226" s="17">
        <f t="shared" si="3"/>
        <v>936000</v>
      </c>
    </row>
    <row r="227" spans="1:5" x14ac:dyDescent="0.35">
      <c r="A227" s="13">
        <v>43304</v>
      </c>
      <c r="B227" s="5" t="s">
        <v>404</v>
      </c>
      <c r="C227" s="5">
        <v>2</v>
      </c>
      <c r="D227" s="17">
        <v>48000</v>
      </c>
      <c r="E227" s="17">
        <f t="shared" si="3"/>
        <v>96000</v>
      </c>
    </row>
    <row r="228" spans="1:5" x14ac:dyDescent="0.35">
      <c r="A228" s="13">
        <v>43304</v>
      </c>
      <c r="B228" s="5" t="s">
        <v>57</v>
      </c>
      <c r="C228" s="5">
        <v>1</v>
      </c>
      <c r="D228" s="17">
        <v>38000</v>
      </c>
      <c r="E228" s="17">
        <f t="shared" si="3"/>
        <v>38000</v>
      </c>
    </row>
    <row r="229" spans="1:5" x14ac:dyDescent="0.35">
      <c r="A229" s="13">
        <v>43304</v>
      </c>
      <c r="B229" s="5" t="s">
        <v>384</v>
      </c>
      <c r="C229" s="5">
        <v>1</v>
      </c>
      <c r="D229" s="17">
        <v>54000</v>
      </c>
      <c r="E229" s="17">
        <f t="shared" si="3"/>
        <v>54000</v>
      </c>
    </row>
    <row r="230" spans="1:5" x14ac:dyDescent="0.35">
      <c r="A230" s="13">
        <v>43304</v>
      </c>
      <c r="B230" s="5" t="s">
        <v>715</v>
      </c>
      <c r="C230" s="5">
        <v>30</v>
      </c>
      <c r="D230" s="17">
        <v>2000</v>
      </c>
      <c r="E230" s="17">
        <f t="shared" si="3"/>
        <v>60000</v>
      </c>
    </row>
    <row r="231" spans="1:5" x14ac:dyDescent="0.35">
      <c r="A231" s="13">
        <v>43304</v>
      </c>
      <c r="B231" s="5" t="s">
        <v>716</v>
      </c>
      <c r="C231" s="5">
        <v>10</v>
      </c>
      <c r="D231" s="17">
        <v>2200</v>
      </c>
      <c r="E231" s="17">
        <f t="shared" si="3"/>
        <v>22000</v>
      </c>
    </row>
    <row r="232" spans="1:5" x14ac:dyDescent="0.35">
      <c r="A232" s="13">
        <v>43304</v>
      </c>
      <c r="B232" s="5" t="s">
        <v>663</v>
      </c>
      <c r="C232" s="5">
        <v>6</v>
      </c>
      <c r="D232" s="17">
        <v>57000</v>
      </c>
      <c r="E232" s="17">
        <f t="shared" si="3"/>
        <v>342000</v>
      </c>
    </row>
    <row r="233" spans="1:5" x14ac:dyDescent="0.35">
      <c r="A233" s="13">
        <v>43304</v>
      </c>
      <c r="B233" s="5" t="s">
        <v>717</v>
      </c>
      <c r="C233" s="5">
        <v>25</v>
      </c>
      <c r="D233" s="17">
        <v>8000</v>
      </c>
      <c r="E233" s="17">
        <f t="shared" si="3"/>
        <v>200000</v>
      </c>
    </row>
    <row r="234" spans="1:5" x14ac:dyDescent="0.35">
      <c r="A234" s="13">
        <v>43304</v>
      </c>
      <c r="B234" s="5" t="s">
        <v>201</v>
      </c>
      <c r="C234" s="5">
        <v>11</v>
      </c>
      <c r="D234" s="17">
        <v>47000</v>
      </c>
      <c r="E234" s="17">
        <f t="shared" si="3"/>
        <v>517000</v>
      </c>
    </row>
    <row r="235" spans="1:5" x14ac:dyDescent="0.35">
      <c r="A235" s="13">
        <v>43304</v>
      </c>
      <c r="B235" s="5" t="s">
        <v>530</v>
      </c>
      <c r="C235" s="5">
        <v>4</v>
      </c>
      <c r="D235" s="17">
        <v>46000</v>
      </c>
      <c r="E235" s="17">
        <f t="shared" si="3"/>
        <v>184000</v>
      </c>
    </row>
    <row r="236" spans="1:5" x14ac:dyDescent="0.35">
      <c r="A236" s="13">
        <v>43304</v>
      </c>
      <c r="B236" s="5" t="s">
        <v>540</v>
      </c>
      <c r="C236" s="5">
        <v>4</v>
      </c>
      <c r="D236" s="17">
        <v>57000</v>
      </c>
      <c r="E236" s="17">
        <f t="shared" si="3"/>
        <v>228000</v>
      </c>
    </row>
    <row r="237" spans="1:5" x14ac:dyDescent="0.35">
      <c r="A237" s="13">
        <v>43304</v>
      </c>
      <c r="B237" s="5" t="s">
        <v>498</v>
      </c>
      <c r="C237" s="5">
        <v>4</v>
      </c>
      <c r="D237" s="17">
        <v>59000</v>
      </c>
      <c r="E237" s="17">
        <f t="shared" si="3"/>
        <v>236000</v>
      </c>
    </row>
    <row r="238" spans="1:5" x14ac:dyDescent="0.35">
      <c r="A238" s="13">
        <v>43304</v>
      </c>
      <c r="B238" s="5" t="s">
        <v>187</v>
      </c>
      <c r="C238" s="5">
        <v>1</v>
      </c>
      <c r="D238" s="17">
        <v>47000</v>
      </c>
      <c r="E238" s="17">
        <f t="shared" si="3"/>
        <v>47000</v>
      </c>
    </row>
    <row r="239" spans="1:5" x14ac:dyDescent="0.35">
      <c r="A239" s="13">
        <v>43304</v>
      </c>
      <c r="B239" s="5" t="s">
        <v>697</v>
      </c>
      <c r="C239" s="5">
        <v>3</v>
      </c>
      <c r="D239" s="17">
        <v>3500</v>
      </c>
      <c r="E239" s="17">
        <f t="shared" si="3"/>
        <v>10500</v>
      </c>
    </row>
    <row r="240" spans="1:5" x14ac:dyDescent="0.35">
      <c r="A240" s="13">
        <v>43304</v>
      </c>
      <c r="B240" s="5" t="s">
        <v>718</v>
      </c>
      <c r="C240" s="5">
        <v>7</v>
      </c>
      <c r="D240" s="17">
        <v>3500</v>
      </c>
      <c r="E240" s="17">
        <f t="shared" si="3"/>
        <v>24500</v>
      </c>
    </row>
    <row r="241" spans="1:5" x14ac:dyDescent="0.35">
      <c r="A241" s="13">
        <v>43305</v>
      </c>
      <c r="E241" s="17">
        <f t="shared" si="3"/>
        <v>0</v>
      </c>
    </row>
    <row r="242" spans="1:5" x14ac:dyDescent="0.35">
      <c r="A242" s="13">
        <v>43305</v>
      </c>
      <c r="B242" s="5" t="s">
        <v>52</v>
      </c>
      <c r="C242" s="5">
        <v>1</v>
      </c>
      <c r="D242" s="17">
        <v>47000</v>
      </c>
      <c r="E242" s="17">
        <f t="shared" si="3"/>
        <v>47000</v>
      </c>
    </row>
    <row r="243" spans="1:5" x14ac:dyDescent="0.35">
      <c r="A243" s="13">
        <v>43305</v>
      </c>
      <c r="B243" s="5" t="s">
        <v>136</v>
      </c>
      <c r="C243" s="5">
        <v>2</v>
      </c>
      <c r="D243" s="17">
        <v>58000</v>
      </c>
      <c r="E243" s="17">
        <f t="shared" si="3"/>
        <v>116000</v>
      </c>
    </row>
    <row r="244" spans="1:5" x14ac:dyDescent="0.35">
      <c r="A244" s="13">
        <v>43305</v>
      </c>
      <c r="B244" s="5" t="s">
        <v>446</v>
      </c>
      <c r="C244" s="5">
        <v>1</v>
      </c>
      <c r="D244" s="17">
        <v>48000</v>
      </c>
      <c r="E244" s="17">
        <f t="shared" si="3"/>
        <v>48000</v>
      </c>
    </row>
    <row r="245" spans="1:5" x14ac:dyDescent="0.35">
      <c r="A245" s="13">
        <v>43305</v>
      </c>
      <c r="B245" s="5" t="s">
        <v>575</v>
      </c>
      <c r="C245" s="5">
        <v>1</v>
      </c>
      <c r="D245" s="17">
        <v>58000</v>
      </c>
      <c r="E245" s="17">
        <f t="shared" si="3"/>
        <v>58000</v>
      </c>
    </row>
    <row r="246" spans="1:5" x14ac:dyDescent="0.35">
      <c r="A246" s="13">
        <v>43305</v>
      </c>
      <c r="B246" s="5" t="s">
        <v>34</v>
      </c>
      <c r="C246" s="5">
        <v>1</v>
      </c>
      <c r="D246" s="17">
        <v>48000</v>
      </c>
      <c r="E246" s="17">
        <f t="shared" si="3"/>
        <v>48000</v>
      </c>
    </row>
    <row r="247" spans="1:5" x14ac:dyDescent="0.35">
      <c r="A247" s="13">
        <v>43305</v>
      </c>
      <c r="B247" s="5" t="s">
        <v>125</v>
      </c>
      <c r="C247" s="5">
        <v>14</v>
      </c>
      <c r="D247" s="17">
        <v>39000</v>
      </c>
      <c r="E247" s="17">
        <f t="shared" si="3"/>
        <v>546000</v>
      </c>
    </row>
    <row r="248" spans="1:5" x14ac:dyDescent="0.35">
      <c r="A248" s="13">
        <v>43305</v>
      </c>
      <c r="B248" s="5" t="s">
        <v>52</v>
      </c>
      <c r="C248" s="5">
        <v>1</v>
      </c>
      <c r="D248" s="17">
        <v>48000</v>
      </c>
      <c r="E248" s="17">
        <f t="shared" si="3"/>
        <v>48000</v>
      </c>
    </row>
    <row r="249" spans="1:5" x14ac:dyDescent="0.35">
      <c r="A249" s="13">
        <v>43305</v>
      </c>
      <c r="B249" s="5" t="s">
        <v>52</v>
      </c>
      <c r="C249" s="5">
        <v>1</v>
      </c>
      <c r="D249" s="17">
        <v>48000</v>
      </c>
      <c r="E249" s="17">
        <f t="shared" si="3"/>
        <v>48000</v>
      </c>
    </row>
    <row r="250" spans="1:5" x14ac:dyDescent="0.35">
      <c r="A250" s="13">
        <v>43306</v>
      </c>
      <c r="E250" s="17">
        <f t="shared" si="3"/>
        <v>0</v>
      </c>
    </row>
    <row r="251" spans="1:5" x14ac:dyDescent="0.35">
      <c r="A251" s="13">
        <v>43306</v>
      </c>
      <c r="B251" s="5" t="s">
        <v>9</v>
      </c>
      <c r="C251" s="5">
        <v>3</v>
      </c>
      <c r="D251" s="17">
        <v>59000</v>
      </c>
      <c r="E251" s="17">
        <f t="shared" si="3"/>
        <v>177000</v>
      </c>
    </row>
    <row r="252" spans="1:5" x14ac:dyDescent="0.35">
      <c r="A252" s="13">
        <v>43306</v>
      </c>
      <c r="B252" s="5" t="s">
        <v>24</v>
      </c>
      <c r="C252" s="5">
        <v>1</v>
      </c>
      <c r="D252" s="17">
        <v>58000</v>
      </c>
      <c r="E252" s="17">
        <f t="shared" si="3"/>
        <v>58000</v>
      </c>
    </row>
    <row r="253" spans="1:5" x14ac:dyDescent="0.35">
      <c r="A253" s="13">
        <v>43306</v>
      </c>
      <c r="B253" s="5" t="s">
        <v>719</v>
      </c>
      <c r="C253" s="5">
        <v>153</v>
      </c>
      <c r="D253" s="17">
        <v>2500</v>
      </c>
      <c r="E253" s="17">
        <f t="shared" si="3"/>
        <v>382500</v>
      </c>
    </row>
    <row r="254" spans="1:5" x14ac:dyDescent="0.35">
      <c r="A254" s="13">
        <v>43306</v>
      </c>
      <c r="B254" s="5" t="s">
        <v>109</v>
      </c>
      <c r="C254" s="5">
        <v>1</v>
      </c>
      <c r="D254" s="17">
        <v>35500</v>
      </c>
      <c r="E254" s="17">
        <f t="shared" si="3"/>
        <v>35500</v>
      </c>
    </row>
    <row r="255" spans="1:5" x14ac:dyDescent="0.35">
      <c r="A255" s="13">
        <v>43306</v>
      </c>
      <c r="B255" s="5" t="s">
        <v>160</v>
      </c>
      <c r="C255" s="5">
        <v>1</v>
      </c>
      <c r="D255" s="17">
        <v>57000</v>
      </c>
      <c r="E255" s="17">
        <f t="shared" si="3"/>
        <v>57000</v>
      </c>
    </row>
    <row r="256" spans="1:5" x14ac:dyDescent="0.35">
      <c r="A256" s="13">
        <v>43306</v>
      </c>
      <c r="B256" s="5" t="s">
        <v>717</v>
      </c>
      <c r="C256" s="5">
        <v>10</v>
      </c>
      <c r="D256" s="17">
        <v>8000</v>
      </c>
      <c r="E256" s="17">
        <f t="shared" si="3"/>
        <v>80000</v>
      </c>
    </row>
    <row r="257" spans="1:5" x14ac:dyDescent="0.35">
      <c r="A257" s="13">
        <v>43306</v>
      </c>
      <c r="B257" s="5" t="s">
        <v>721</v>
      </c>
      <c r="C257" s="5">
        <v>11</v>
      </c>
      <c r="D257" s="17">
        <v>2200</v>
      </c>
      <c r="E257" s="17">
        <f t="shared" si="3"/>
        <v>24200</v>
      </c>
    </row>
    <row r="258" spans="1:5" x14ac:dyDescent="0.35">
      <c r="A258" s="13">
        <v>43306</v>
      </c>
      <c r="B258" s="5" t="s">
        <v>722</v>
      </c>
      <c r="C258" s="5">
        <v>5</v>
      </c>
      <c r="D258" s="17">
        <v>2000</v>
      </c>
      <c r="E258" s="17">
        <f t="shared" si="3"/>
        <v>10000</v>
      </c>
    </row>
    <row r="259" spans="1:5" x14ac:dyDescent="0.35">
      <c r="A259" s="13">
        <v>43306</v>
      </c>
      <c r="B259" s="5" t="s">
        <v>38</v>
      </c>
      <c r="C259" s="5">
        <v>8</v>
      </c>
      <c r="D259" s="17">
        <v>49000</v>
      </c>
      <c r="E259" s="17">
        <f t="shared" si="3"/>
        <v>392000</v>
      </c>
    </row>
    <row r="260" spans="1:5" x14ac:dyDescent="0.35">
      <c r="A260" s="13">
        <v>43306</v>
      </c>
      <c r="B260" s="5" t="s">
        <v>614</v>
      </c>
      <c r="C260" s="5">
        <v>5</v>
      </c>
      <c r="D260" s="17">
        <v>58000</v>
      </c>
      <c r="E260" s="17">
        <f t="shared" ref="E260:E323" si="4">D260*C260</f>
        <v>290000</v>
      </c>
    </row>
    <row r="261" spans="1:5" x14ac:dyDescent="0.35">
      <c r="A261" s="13">
        <v>43306</v>
      </c>
      <c r="B261" s="5" t="s">
        <v>703</v>
      </c>
      <c r="C261" s="5">
        <v>1</v>
      </c>
      <c r="D261" s="17">
        <v>57000</v>
      </c>
      <c r="E261" s="17">
        <f t="shared" si="4"/>
        <v>57000</v>
      </c>
    </row>
    <row r="262" spans="1:5" x14ac:dyDescent="0.35">
      <c r="A262" s="13">
        <v>43306</v>
      </c>
      <c r="B262" s="5" t="s">
        <v>60</v>
      </c>
      <c r="C262" s="5">
        <v>29</v>
      </c>
      <c r="D262" s="17">
        <v>54000</v>
      </c>
      <c r="E262" s="17">
        <f t="shared" si="4"/>
        <v>1566000</v>
      </c>
    </row>
    <row r="263" spans="1:5" x14ac:dyDescent="0.35">
      <c r="A263" s="13">
        <v>43306</v>
      </c>
      <c r="B263" s="5" t="s">
        <v>25</v>
      </c>
      <c r="C263" s="5">
        <v>3</v>
      </c>
      <c r="D263" s="17">
        <v>54000</v>
      </c>
      <c r="E263" s="17">
        <f t="shared" si="4"/>
        <v>162000</v>
      </c>
    </row>
    <row r="264" spans="1:5" x14ac:dyDescent="0.35">
      <c r="A264" s="13">
        <v>43306</v>
      </c>
      <c r="B264" s="5" t="s">
        <v>720</v>
      </c>
      <c r="C264" s="5">
        <v>40</v>
      </c>
      <c r="D264" s="17">
        <v>55000</v>
      </c>
      <c r="E264" s="17">
        <f t="shared" si="4"/>
        <v>2200000</v>
      </c>
    </row>
    <row r="265" spans="1:5" x14ac:dyDescent="0.35">
      <c r="A265" s="13">
        <v>43306</v>
      </c>
      <c r="B265" s="5" t="s">
        <v>614</v>
      </c>
      <c r="C265" s="5">
        <v>1</v>
      </c>
      <c r="D265" s="17">
        <v>58000</v>
      </c>
      <c r="E265" s="17">
        <f t="shared" si="4"/>
        <v>58000</v>
      </c>
    </row>
    <row r="266" spans="1:5" x14ac:dyDescent="0.35">
      <c r="A266" s="13">
        <v>43306</v>
      </c>
      <c r="B266" s="5" t="s">
        <v>92</v>
      </c>
      <c r="C266" s="5">
        <v>15</v>
      </c>
      <c r="D266" s="17">
        <v>1500</v>
      </c>
      <c r="E266" s="17">
        <f t="shared" si="4"/>
        <v>22500</v>
      </c>
    </row>
    <row r="267" spans="1:5" x14ac:dyDescent="0.35">
      <c r="A267" s="13">
        <v>43307</v>
      </c>
      <c r="E267" s="17">
        <f t="shared" si="4"/>
        <v>0</v>
      </c>
    </row>
    <row r="268" spans="1:5" x14ac:dyDescent="0.35">
      <c r="A268" s="13">
        <v>43307</v>
      </c>
      <c r="B268" s="5" t="s">
        <v>469</v>
      </c>
      <c r="C268" s="5">
        <v>8</v>
      </c>
      <c r="D268" s="17">
        <v>48000</v>
      </c>
      <c r="E268" s="17">
        <f t="shared" si="4"/>
        <v>384000</v>
      </c>
    </row>
    <row r="269" spans="1:5" x14ac:dyDescent="0.35">
      <c r="A269" s="13">
        <v>43307</v>
      </c>
      <c r="B269" s="5" t="s">
        <v>38</v>
      </c>
      <c r="C269" s="5">
        <v>2</v>
      </c>
      <c r="D269" s="17">
        <v>49000</v>
      </c>
      <c r="E269" s="17">
        <f t="shared" si="4"/>
        <v>98000</v>
      </c>
    </row>
    <row r="270" spans="1:5" x14ac:dyDescent="0.35">
      <c r="A270" s="13">
        <v>43307</v>
      </c>
      <c r="B270" s="5" t="s">
        <v>183</v>
      </c>
      <c r="C270" s="5">
        <v>10</v>
      </c>
      <c r="D270" s="17">
        <v>27000</v>
      </c>
      <c r="E270" s="17">
        <f t="shared" si="4"/>
        <v>270000</v>
      </c>
    </row>
    <row r="271" spans="1:5" x14ac:dyDescent="0.35">
      <c r="A271" s="13">
        <v>43307</v>
      </c>
      <c r="B271" s="5" t="s">
        <v>723</v>
      </c>
      <c r="C271" s="5">
        <v>10</v>
      </c>
      <c r="D271" s="17">
        <v>8500</v>
      </c>
      <c r="E271" s="17">
        <f t="shared" si="4"/>
        <v>85000</v>
      </c>
    </row>
    <row r="272" spans="1:5" x14ac:dyDescent="0.35">
      <c r="A272" s="13">
        <v>43308</v>
      </c>
      <c r="E272" s="17">
        <f t="shared" si="4"/>
        <v>0</v>
      </c>
    </row>
    <row r="273" spans="1:5" x14ac:dyDescent="0.35">
      <c r="A273" s="13">
        <v>43308</v>
      </c>
      <c r="B273" s="5" t="s">
        <v>404</v>
      </c>
      <c r="C273" s="5">
        <v>72</v>
      </c>
      <c r="D273" s="17">
        <v>48000</v>
      </c>
      <c r="E273" s="17">
        <f t="shared" si="4"/>
        <v>3456000</v>
      </c>
    </row>
    <row r="274" spans="1:5" x14ac:dyDescent="0.35">
      <c r="A274" s="13">
        <v>43308</v>
      </c>
      <c r="B274" s="5" t="s">
        <v>44</v>
      </c>
      <c r="C274" s="5">
        <v>25</v>
      </c>
      <c r="D274" s="17">
        <v>54000</v>
      </c>
      <c r="E274" s="17">
        <f t="shared" si="4"/>
        <v>1350000</v>
      </c>
    </row>
    <row r="275" spans="1:5" x14ac:dyDescent="0.35">
      <c r="A275" s="13">
        <v>43308</v>
      </c>
      <c r="B275" s="5" t="s">
        <v>46</v>
      </c>
      <c r="C275" s="5">
        <v>3</v>
      </c>
      <c r="D275" s="17">
        <v>15000</v>
      </c>
      <c r="E275" s="17">
        <f t="shared" si="4"/>
        <v>45000</v>
      </c>
    </row>
    <row r="276" spans="1:5" x14ac:dyDescent="0.35">
      <c r="A276" s="13">
        <v>43308</v>
      </c>
      <c r="B276" s="5" t="s">
        <v>724</v>
      </c>
      <c r="C276" s="5">
        <v>3</v>
      </c>
      <c r="D276" s="17">
        <v>15000</v>
      </c>
      <c r="E276" s="17">
        <f t="shared" si="4"/>
        <v>45000</v>
      </c>
    </row>
    <row r="277" spans="1:5" x14ac:dyDescent="0.35">
      <c r="A277" s="13">
        <v>43308</v>
      </c>
      <c r="B277" s="5" t="s">
        <v>540</v>
      </c>
      <c r="C277" s="5">
        <v>1</v>
      </c>
      <c r="D277" s="17">
        <v>56000</v>
      </c>
      <c r="E277" s="17">
        <f t="shared" si="4"/>
        <v>56000</v>
      </c>
    </row>
    <row r="278" spans="1:5" x14ac:dyDescent="0.35">
      <c r="A278" s="13">
        <v>43308</v>
      </c>
      <c r="B278" s="5" t="s">
        <v>38</v>
      </c>
      <c r="C278" s="5">
        <v>3</v>
      </c>
      <c r="D278" s="17">
        <v>49000</v>
      </c>
      <c r="E278" s="17">
        <f t="shared" si="4"/>
        <v>147000</v>
      </c>
    </row>
    <row r="279" spans="1:5" x14ac:dyDescent="0.35">
      <c r="A279" s="13">
        <v>43308</v>
      </c>
      <c r="B279" s="5" t="s">
        <v>469</v>
      </c>
      <c r="C279" s="5">
        <v>9</v>
      </c>
      <c r="D279" s="17">
        <v>48000</v>
      </c>
      <c r="E279" s="17">
        <f t="shared" si="4"/>
        <v>432000</v>
      </c>
    </row>
    <row r="280" spans="1:5" x14ac:dyDescent="0.35">
      <c r="A280" s="13">
        <v>43308</v>
      </c>
      <c r="B280" s="5" t="s">
        <v>725</v>
      </c>
      <c r="C280" s="5">
        <v>8</v>
      </c>
      <c r="D280" s="17">
        <v>21000</v>
      </c>
      <c r="E280" s="17">
        <f t="shared" si="4"/>
        <v>168000</v>
      </c>
    </row>
    <row r="281" spans="1:5" x14ac:dyDescent="0.35">
      <c r="A281" s="13">
        <v>43308</v>
      </c>
      <c r="B281" s="5" t="s">
        <v>404</v>
      </c>
      <c r="C281" s="5">
        <v>12</v>
      </c>
      <c r="D281" s="17">
        <v>48000</v>
      </c>
      <c r="E281" s="17">
        <f t="shared" si="4"/>
        <v>576000</v>
      </c>
    </row>
    <row r="282" spans="1:5" x14ac:dyDescent="0.35">
      <c r="A282" s="13">
        <v>43308</v>
      </c>
      <c r="B282" s="5" t="s">
        <v>469</v>
      </c>
      <c r="C282" s="5">
        <v>1</v>
      </c>
      <c r="D282" s="17">
        <v>47500</v>
      </c>
      <c r="E282" s="17">
        <f t="shared" si="4"/>
        <v>47500</v>
      </c>
    </row>
    <row r="283" spans="1:5" x14ac:dyDescent="0.35">
      <c r="A283" s="13">
        <v>43308</v>
      </c>
      <c r="B283" s="5" t="s">
        <v>530</v>
      </c>
      <c r="C283" s="5">
        <v>1</v>
      </c>
      <c r="D283" s="17">
        <v>46000</v>
      </c>
      <c r="E283" s="17">
        <f t="shared" si="4"/>
        <v>46000</v>
      </c>
    </row>
    <row r="284" spans="1:5" x14ac:dyDescent="0.35">
      <c r="A284" s="13">
        <v>43308</v>
      </c>
      <c r="B284" s="5" t="s">
        <v>726</v>
      </c>
      <c r="C284" s="5">
        <v>2</v>
      </c>
      <c r="D284" s="17">
        <v>15000</v>
      </c>
      <c r="E284" s="17">
        <f t="shared" si="4"/>
        <v>30000</v>
      </c>
    </row>
    <row r="285" spans="1:5" x14ac:dyDescent="0.35">
      <c r="A285" s="13">
        <v>43309</v>
      </c>
      <c r="E285" s="17">
        <f t="shared" si="4"/>
        <v>0</v>
      </c>
    </row>
    <row r="286" spans="1:5" x14ac:dyDescent="0.35">
      <c r="A286" s="13">
        <v>43309</v>
      </c>
      <c r="B286" s="5" t="s">
        <v>433</v>
      </c>
      <c r="C286" s="5">
        <v>3</v>
      </c>
      <c r="D286" s="17">
        <v>56000</v>
      </c>
      <c r="E286" s="17">
        <f t="shared" si="4"/>
        <v>168000</v>
      </c>
    </row>
    <row r="287" spans="1:5" x14ac:dyDescent="0.35">
      <c r="A287" s="13">
        <v>43309</v>
      </c>
      <c r="B287" s="5" t="s">
        <v>92</v>
      </c>
      <c r="C287" s="5">
        <v>1</v>
      </c>
      <c r="D287" s="17">
        <v>1600</v>
      </c>
      <c r="E287" s="17">
        <f t="shared" si="4"/>
        <v>1600</v>
      </c>
    </row>
    <row r="288" spans="1:5" x14ac:dyDescent="0.35">
      <c r="A288" s="13">
        <v>43309</v>
      </c>
      <c r="B288" s="5" t="s">
        <v>220</v>
      </c>
      <c r="C288" s="5">
        <v>10</v>
      </c>
      <c r="D288" s="17">
        <v>48000</v>
      </c>
      <c r="E288" s="17">
        <f t="shared" si="4"/>
        <v>480000</v>
      </c>
    </row>
    <row r="289" spans="1:5" x14ac:dyDescent="0.35">
      <c r="A289" s="13">
        <v>43309</v>
      </c>
      <c r="B289" s="5" t="s">
        <v>32</v>
      </c>
      <c r="C289" s="5">
        <v>23</v>
      </c>
      <c r="D289" s="17">
        <v>42000</v>
      </c>
      <c r="E289" s="17">
        <f t="shared" si="4"/>
        <v>966000</v>
      </c>
    </row>
    <row r="290" spans="1:5" x14ac:dyDescent="0.35">
      <c r="A290" s="13">
        <v>43309</v>
      </c>
      <c r="B290" s="5" t="s">
        <v>727</v>
      </c>
      <c r="C290" s="5">
        <v>15</v>
      </c>
      <c r="D290" s="17">
        <v>47000</v>
      </c>
      <c r="E290" s="17">
        <f t="shared" si="4"/>
        <v>705000</v>
      </c>
    </row>
    <row r="291" spans="1:5" x14ac:dyDescent="0.35">
      <c r="A291" s="13">
        <v>43309</v>
      </c>
      <c r="B291" s="5" t="s">
        <v>4</v>
      </c>
      <c r="C291" s="5">
        <v>1</v>
      </c>
      <c r="D291" s="17">
        <v>39000</v>
      </c>
      <c r="E291" s="17">
        <f t="shared" si="4"/>
        <v>39000</v>
      </c>
    </row>
    <row r="292" spans="1:5" x14ac:dyDescent="0.35">
      <c r="A292" s="13">
        <v>43309</v>
      </c>
      <c r="B292" s="5" t="s">
        <v>728</v>
      </c>
      <c r="C292" s="5">
        <v>1</v>
      </c>
      <c r="D292" s="17">
        <v>43000</v>
      </c>
      <c r="E292" s="17">
        <f t="shared" si="4"/>
        <v>43000</v>
      </c>
    </row>
    <row r="293" spans="1:5" x14ac:dyDescent="0.35">
      <c r="A293" s="13">
        <v>43309</v>
      </c>
      <c r="B293" s="5" t="s">
        <v>38</v>
      </c>
      <c r="C293" s="5">
        <v>1</v>
      </c>
      <c r="D293" s="17">
        <v>49000</v>
      </c>
      <c r="E293" s="17">
        <f t="shared" si="4"/>
        <v>49000</v>
      </c>
    </row>
    <row r="294" spans="1:5" x14ac:dyDescent="0.35">
      <c r="A294" s="13">
        <v>43309</v>
      </c>
      <c r="B294" s="5" t="s">
        <v>25</v>
      </c>
      <c r="C294" s="5">
        <v>11</v>
      </c>
      <c r="D294" s="17">
        <v>54000</v>
      </c>
      <c r="E294" s="17">
        <f t="shared" si="4"/>
        <v>594000</v>
      </c>
    </row>
    <row r="295" spans="1:5" x14ac:dyDescent="0.35">
      <c r="A295" s="13">
        <v>43309</v>
      </c>
      <c r="B295" s="5" t="s">
        <v>4</v>
      </c>
      <c r="C295" s="5">
        <v>2</v>
      </c>
      <c r="D295" s="17">
        <v>39000</v>
      </c>
      <c r="E295" s="17">
        <f t="shared" si="4"/>
        <v>78000</v>
      </c>
    </row>
    <row r="296" spans="1:5" x14ac:dyDescent="0.35">
      <c r="A296" s="13">
        <v>43309</v>
      </c>
      <c r="B296" s="5" t="s">
        <v>543</v>
      </c>
      <c r="C296" s="5">
        <v>1</v>
      </c>
      <c r="D296" s="17">
        <v>15000</v>
      </c>
      <c r="E296" s="17">
        <f t="shared" si="4"/>
        <v>15000</v>
      </c>
    </row>
    <row r="297" spans="1:5" x14ac:dyDescent="0.35">
      <c r="A297" s="13">
        <v>43311</v>
      </c>
      <c r="E297" s="17">
        <f t="shared" si="4"/>
        <v>0</v>
      </c>
    </row>
    <row r="298" spans="1:5" x14ac:dyDescent="0.35">
      <c r="A298" s="13">
        <v>43311</v>
      </c>
      <c r="B298" s="5" t="s">
        <v>33</v>
      </c>
      <c r="C298" s="5">
        <v>12</v>
      </c>
      <c r="D298" s="17">
        <v>49000</v>
      </c>
      <c r="E298" s="17">
        <f t="shared" si="4"/>
        <v>588000</v>
      </c>
    </row>
    <row r="299" spans="1:5" x14ac:dyDescent="0.35">
      <c r="A299" s="13">
        <v>43311</v>
      </c>
      <c r="B299" s="5" t="s">
        <v>25</v>
      </c>
      <c r="C299" s="5">
        <v>1</v>
      </c>
      <c r="D299" s="17">
        <v>54000</v>
      </c>
      <c r="E299" s="17">
        <f t="shared" si="4"/>
        <v>54000</v>
      </c>
    </row>
    <row r="300" spans="1:5" x14ac:dyDescent="0.35">
      <c r="A300" s="13">
        <v>43311</v>
      </c>
      <c r="B300" s="5" t="s">
        <v>729</v>
      </c>
      <c r="C300" s="5">
        <v>1</v>
      </c>
      <c r="D300" s="17">
        <v>43000</v>
      </c>
      <c r="E300" s="17">
        <f t="shared" si="4"/>
        <v>43000</v>
      </c>
    </row>
    <row r="301" spans="1:5" x14ac:dyDescent="0.35">
      <c r="A301" s="13">
        <v>43311</v>
      </c>
      <c r="B301" s="5" t="s">
        <v>29</v>
      </c>
      <c r="C301" s="5">
        <v>12</v>
      </c>
      <c r="D301" s="17">
        <v>54000</v>
      </c>
      <c r="E301" s="17">
        <f t="shared" si="4"/>
        <v>648000</v>
      </c>
    </row>
    <row r="302" spans="1:5" x14ac:dyDescent="0.35">
      <c r="A302" s="13">
        <v>43311</v>
      </c>
      <c r="B302" s="5" t="s">
        <v>1</v>
      </c>
      <c r="C302" s="5">
        <v>2</v>
      </c>
      <c r="D302" s="17">
        <v>50000</v>
      </c>
      <c r="E302" s="17">
        <f t="shared" si="4"/>
        <v>100000</v>
      </c>
    </row>
    <row r="303" spans="1:5" x14ac:dyDescent="0.35">
      <c r="A303" s="13">
        <v>43311</v>
      </c>
      <c r="B303" s="5" t="s">
        <v>404</v>
      </c>
      <c r="C303" s="5">
        <v>14</v>
      </c>
      <c r="D303" s="17">
        <v>47000</v>
      </c>
      <c r="E303" s="17">
        <f t="shared" si="4"/>
        <v>658000</v>
      </c>
    </row>
    <row r="304" spans="1:5" x14ac:dyDescent="0.35">
      <c r="A304" s="13">
        <v>43311</v>
      </c>
      <c r="B304" s="5" t="s">
        <v>478</v>
      </c>
      <c r="C304" s="5">
        <v>11</v>
      </c>
      <c r="D304" s="17">
        <v>58000</v>
      </c>
      <c r="E304" s="17">
        <f t="shared" si="4"/>
        <v>638000</v>
      </c>
    </row>
    <row r="305" spans="1:5" x14ac:dyDescent="0.35">
      <c r="A305" s="13">
        <v>43311</v>
      </c>
      <c r="B305" s="5" t="s">
        <v>32</v>
      </c>
      <c r="C305" s="5">
        <v>20</v>
      </c>
      <c r="D305" s="17">
        <v>43500</v>
      </c>
      <c r="E305" s="17">
        <f t="shared" si="4"/>
        <v>870000</v>
      </c>
    </row>
    <row r="306" spans="1:5" x14ac:dyDescent="0.35">
      <c r="A306" s="13">
        <v>43311</v>
      </c>
      <c r="B306" s="5" t="s">
        <v>730</v>
      </c>
      <c r="C306" s="5">
        <v>1</v>
      </c>
      <c r="D306" s="17">
        <v>144000</v>
      </c>
      <c r="E306" s="17">
        <f t="shared" si="4"/>
        <v>144000</v>
      </c>
    </row>
    <row r="307" spans="1:5" x14ac:dyDescent="0.35">
      <c r="A307" s="13">
        <v>43311</v>
      </c>
      <c r="B307" s="5" t="s">
        <v>6</v>
      </c>
      <c r="C307" s="5">
        <v>3</v>
      </c>
      <c r="D307" s="17">
        <v>52000</v>
      </c>
      <c r="E307" s="17">
        <f t="shared" si="4"/>
        <v>156000</v>
      </c>
    </row>
    <row r="308" spans="1:5" x14ac:dyDescent="0.35">
      <c r="A308" s="13">
        <v>43311</v>
      </c>
      <c r="B308" s="5" t="s">
        <v>68</v>
      </c>
      <c r="C308" s="5">
        <v>2</v>
      </c>
      <c r="D308" s="17">
        <v>15000</v>
      </c>
      <c r="E308" s="17">
        <f t="shared" si="4"/>
        <v>30000</v>
      </c>
    </row>
    <row r="309" spans="1:5" x14ac:dyDescent="0.35">
      <c r="A309" s="13">
        <v>43311</v>
      </c>
      <c r="B309" s="5" t="s">
        <v>187</v>
      </c>
      <c r="C309" s="5">
        <v>2</v>
      </c>
      <c r="D309" s="17">
        <v>47000</v>
      </c>
      <c r="E309" s="17">
        <f t="shared" si="4"/>
        <v>94000</v>
      </c>
    </row>
    <row r="310" spans="1:5" x14ac:dyDescent="0.35">
      <c r="A310" s="13">
        <v>43312</v>
      </c>
      <c r="E310" s="17">
        <f t="shared" si="4"/>
        <v>0</v>
      </c>
    </row>
    <row r="311" spans="1:5" x14ac:dyDescent="0.35">
      <c r="A311" s="13">
        <v>43312</v>
      </c>
      <c r="B311" s="5" t="s">
        <v>92</v>
      </c>
      <c r="C311" s="5">
        <v>8</v>
      </c>
      <c r="D311" s="17">
        <v>1600</v>
      </c>
      <c r="E311" s="17">
        <f t="shared" si="4"/>
        <v>12800</v>
      </c>
    </row>
    <row r="312" spans="1:5" x14ac:dyDescent="0.35">
      <c r="A312" s="13">
        <v>43312</v>
      </c>
      <c r="B312" s="5" t="s">
        <v>731</v>
      </c>
      <c r="C312" s="5">
        <v>11</v>
      </c>
      <c r="D312" s="17">
        <v>62500</v>
      </c>
      <c r="E312" s="17">
        <f t="shared" si="4"/>
        <v>687500</v>
      </c>
    </row>
    <row r="313" spans="1:5" x14ac:dyDescent="0.35">
      <c r="A313" s="13">
        <v>43312</v>
      </c>
      <c r="B313" s="5" t="s">
        <v>732</v>
      </c>
      <c r="C313" s="5">
        <v>4</v>
      </c>
      <c r="D313" s="17">
        <v>50000</v>
      </c>
      <c r="E313" s="17">
        <f t="shared" si="4"/>
        <v>200000</v>
      </c>
    </row>
    <row r="314" spans="1:5" x14ac:dyDescent="0.35">
      <c r="A314" s="13">
        <v>43312</v>
      </c>
      <c r="B314" s="5" t="s">
        <v>69</v>
      </c>
      <c r="C314" s="5">
        <v>10</v>
      </c>
      <c r="D314" s="17">
        <v>45000</v>
      </c>
      <c r="E314" s="17">
        <f t="shared" si="4"/>
        <v>450000</v>
      </c>
    </row>
    <row r="315" spans="1:5" x14ac:dyDescent="0.35">
      <c r="A315" s="13">
        <v>43312</v>
      </c>
      <c r="B315" s="5" t="s">
        <v>732</v>
      </c>
      <c r="C315" s="5">
        <v>1</v>
      </c>
      <c r="D315" s="17">
        <v>50000</v>
      </c>
      <c r="E315" s="17">
        <f t="shared" si="4"/>
        <v>50000</v>
      </c>
    </row>
    <row r="316" spans="1:5" x14ac:dyDescent="0.35">
      <c r="A316" s="13">
        <v>43312</v>
      </c>
      <c r="B316" s="5" t="s">
        <v>114</v>
      </c>
      <c r="C316" s="5">
        <v>1</v>
      </c>
      <c r="D316" s="17">
        <v>15000</v>
      </c>
      <c r="E316" s="17">
        <f t="shared" si="4"/>
        <v>15000</v>
      </c>
    </row>
    <row r="317" spans="1:5" x14ac:dyDescent="0.35">
      <c r="A317" s="13">
        <v>43312</v>
      </c>
      <c r="B317" s="5" t="s">
        <v>404</v>
      </c>
      <c r="C317" s="5">
        <v>10</v>
      </c>
      <c r="D317" s="17">
        <v>48000</v>
      </c>
      <c r="E317" s="17">
        <f t="shared" si="4"/>
        <v>480000</v>
      </c>
    </row>
    <row r="318" spans="1:5" x14ac:dyDescent="0.35">
      <c r="A318" s="13">
        <v>43312</v>
      </c>
      <c r="B318" s="5" t="s">
        <v>194</v>
      </c>
      <c r="C318" s="5">
        <v>15</v>
      </c>
      <c r="D318" s="17">
        <v>2000</v>
      </c>
      <c r="E318" s="17">
        <f t="shared" si="4"/>
        <v>30000</v>
      </c>
    </row>
    <row r="319" spans="1:5" x14ac:dyDescent="0.35">
      <c r="A319" s="13">
        <v>43312</v>
      </c>
      <c r="B319" s="5" t="s">
        <v>311</v>
      </c>
      <c r="C319" s="5">
        <v>40</v>
      </c>
      <c r="D319" s="17">
        <v>2200</v>
      </c>
      <c r="E319" s="17">
        <f t="shared" si="4"/>
        <v>88000</v>
      </c>
    </row>
    <row r="320" spans="1:5" x14ac:dyDescent="0.35">
      <c r="A320" s="13">
        <v>43312</v>
      </c>
      <c r="B320" s="5" t="s">
        <v>73</v>
      </c>
      <c r="C320" s="5">
        <v>18</v>
      </c>
      <c r="D320" s="17">
        <v>43000</v>
      </c>
      <c r="E320" s="17">
        <f t="shared" si="4"/>
        <v>774000</v>
      </c>
    </row>
    <row r="321" spans="1:5" x14ac:dyDescent="0.35">
      <c r="A321" s="13">
        <v>43312</v>
      </c>
      <c r="B321" s="5" t="s">
        <v>733</v>
      </c>
      <c r="C321" s="5">
        <v>3</v>
      </c>
      <c r="D321" s="17">
        <v>60000</v>
      </c>
      <c r="E321" s="17">
        <f t="shared" si="4"/>
        <v>180000</v>
      </c>
    </row>
    <row r="322" spans="1:5" x14ac:dyDescent="0.35">
      <c r="A322" s="13">
        <v>43312</v>
      </c>
      <c r="B322" s="5" t="s">
        <v>575</v>
      </c>
      <c r="C322" s="5">
        <v>4</v>
      </c>
      <c r="D322" s="17">
        <v>57500</v>
      </c>
      <c r="E322" s="17">
        <f t="shared" si="4"/>
        <v>230000</v>
      </c>
    </row>
    <row r="323" spans="1:5" x14ac:dyDescent="0.35">
      <c r="A323" s="13">
        <v>43312</v>
      </c>
      <c r="B323" s="5" t="s">
        <v>109</v>
      </c>
      <c r="C323" s="5">
        <v>7</v>
      </c>
      <c r="D323" s="17">
        <v>39000</v>
      </c>
      <c r="E323" s="17">
        <f t="shared" si="4"/>
        <v>273000</v>
      </c>
    </row>
  </sheetData>
  <pageMargins left="0.7" right="0.7" top="0.75" bottom="0.75" header="0.3" footer="0.3"/>
  <pageSetup orientation="portrait" horizontalDpi="4294967294" verticalDpi="4294967294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05"/>
  <sheetViews>
    <sheetView topLeftCell="A298" zoomScale="94" workbookViewId="0">
      <selection activeCell="A308" sqref="A308"/>
    </sheetView>
  </sheetViews>
  <sheetFormatPr defaultRowHeight="15.5" x14ac:dyDescent="0.35"/>
  <cols>
    <col min="1" max="1" width="14.25" style="13" customWidth="1"/>
    <col min="2" max="2" width="24.5" style="5" customWidth="1"/>
    <col min="3" max="3" width="12.83203125" style="5" customWidth="1"/>
    <col min="4" max="4" width="12.83203125" style="17" customWidth="1"/>
    <col min="5" max="5" width="17.9140625" style="17" customWidth="1"/>
    <col min="6" max="6" width="12.83203125" style="13" customWidth="1"/>
    <col min="7" max="7" width="12.83203125" style="5" customWidth="1"/>
    <col min="8" max="8" width="18" style="27" customWidth="1"/>
  </cols>
  <sheetData>
    <row r="1" spans="1:8" x14ac:dyDescent="0.35">
      <c r="A1" s="12" t="s">
        <v>834</v>
      </c>
      <c r="B1" s="7" t="s">
        <v>835</v>
      </c>
      <c r="C1" s="7" t="s">
        <v>836</v>
      </c>
      <c r="D1" s="14" t="s">
        <v>837</v>
      </c>
      <c r="E1" s="14" t="s">
        <v>838</v>
      </c>
      <c r="F1" s="18" t="s">
        <v>839</v>
      </c>
      <c r="G1" s="7" t="s">
        <v>840</v>
      </c>
      <c r="H1" s="24" t="s">
        <v>841</v>
      </c>
    </row>
    <row r="2" spans="1:8" x14ac:dyDescent="0.35">
      <c r="A2" s="50">
        <v>43313</v>
      </c>
      <c r="B2" s="8"/>
      <c r="C2" s="8"/>
      <c r="D2" s="15"/>
      <c r="E2" s="15"/>
      <c r="F2" s="39"/>
      <c r="G2" s="8"/>
      <c r="H2" s="25"/>
    </row>
    <row r="3" spans="1:8" x14ac:dyDescent="0.35">
      <c r="A3" s="50">
        <v>43313</v>
      </c>
      <c r="B3" s="8" t="s">
        <v>194</v>
      </c>
      <c r="C3" s="8">
        <v>20</v>
      </c>
      <c r="D3" s="15">
        <v>2000</v>
      </c>
      <c r="E3" s="15">
        <f>D3*C3</f>
        <v>40000</v>
      </c>
      <c r="F3" s="39">
        <v>43316</v>
      </c>
      <c r="G3" s="8" t="s">
        <v>77</v>
      </c>
      <c r="H3" s="25">
        <v>390000</v>
      </c>
    </row>
    <row r="4" spans="1:8" x14ac:dyDescent="0.35">
      <c r="A4" s="50">
        <v>43313</v>
      </c>
      <c r="B4" s="8" t="s">
        <v>734</v>
      </c>
      <c r="C4" s="8">
        <v>50</v>
      </c>
      <c r="D4" s="15">
        <v>8000</v>
      </c>
      <c r="E4" s="15">
        <f t="shared" ref="E4:E67" si="0">D4*C4</f>
        <v>400000</v>
      </c>
      <c r="F4" s="39">
        <v>43316</v>
      </c>
      <c r="G4" s="8" t="s">
        <v>236</v>
      </c>
      <c r="H4" s="25">
        <v>170000</v>
      </c>
    </row>
    <row r="5" spans="1:8" x14ac:dyDescent="0.35">
      <c r="A5" s="50">
        <v>43313</v>
      </c>
      <c r="B5" s="8" t="s">
        <v>169</v>
      </c>
      <c r="C5" s="8">
        <v>10</v>
      </c>
      <c r="D5" s="15">
        <v>58000</v>
      </c>
      <c r="E5" s="15">
        <f t="shared" si="0"/>
        <v>580000</v>
      </c>
      <c r="F5" s="39">
        <v>43316</v>
      </c>
      <c r="G5" s="8" t="s">
        <v>236</v>
      </c>
      <c r="H5" s="25">
        <v>100000</v>
      </c>
    </row>
    <row r="6" spans="1:8" x14ac:dyDescent="0.35">
      <c r="A6" s="50">
        <v>43313</v>
      </c>
      <c r="B6" s="8" t="s">
        <v>365</v>
      </c>
      <c r="C6" s="8">
        <v>1</v>
      </c>
      <c r="D6" s="15">
        <v>10000</v>
      </c>
      <c r="E6" s="15">
        <f t="shared" si="0"/>
        <v>10000</v>
      </c>
      <c r="F6" s="39"/>
      <c r="G6" s="8"/>
      <c r="H6" s="25"/>
    </row>
    <row r="7" spans="1:8" x14ac:dyDescent="0.35">
      <c r="A7" s="50">
        <v>43313</v>
      </c>
      <c r="B7" s="8" t="s">
        <v>4</v>
      </c>
      <c r="C7" s="8">
        <v>3</v>
      </c>
      <c r="D7" s="15">
        <v>39000</v>
      </c>
      <c r="E7" s="15">
        <f t="shared" si="0"/>
        <v>117000</v>
      </c>
      <c r="F7" s="48">
        <v>43320</v>
      </c>
      <c r="G7" s="8" t="s">
        <v>757</v>
      </c>
      <c r="H7" s="25">
        <v>260000</v>
      </c>
    </row>
    <row r="8" spans="1:8" x14ac:dyDescent="0.35">
      <c r="A8" s="50">
        <v>43313</v>
      </c>
      <c r="B8" s="8" t="s">
        <v>41</v>
      </c>
      <c r="C8" s="8">
        <v>10</v>
      </c>
      <c r="D8" s="15">
        <v>54000</v>
      </c>
      <c r="E8" s="15">
        <f t="shared" si="0"/>
        <v>540000</v>
      </c>
      <c r="F8" s="39"/>
      <c r="G8" s="8"/>
      <c r="H8" s="25"/>
    </row>
    <row r="9" spans="1:8" x14ac:dyDescent="0.35">
      <c r="A9" s="50">
        <v>43313</v>
      </c>
      <c r="B9" s="8" t="s">
        <v>112</v>
      </c>
      <c r="C9" s="8">
        <v>5</v>
      </c>
      <c r="D9" s="15">
        <v>43500</v>
      </c>
      <c r="E9" s="15">
        <f t="shared" si="0"/>
        <v>217500</v>
      </c>
      <c r="F9" s="49">
        <v>43323</v>
      </c>
      <c r="G9" s="8" t="s">
        <v>14</v>
      </c>
      <c r="H9" s="25">
        <v>35000</v>
      </c>
    </row>
    <row r="10" spans="1:8" x14ac:dyDescent="0.35">
      <c r="A10" s="50">
        <v>43313</v>
      </c>
      <c r="B10" s="8" t="s">
        <v>159</v>
      </c>
      <c r="C10" s="8">
        <v>5</v>
      </c>
      <c r="D10" s="15">
        <v>54000</v>
      </c>
      <c r="E10" s="15">
        <f t="shared" si="0"/>
        <v>270000</v>
      </c>
      <c r="F10" s="49">
        <v>43323</v>
      </c>
      <c r="G10" s="8" t="s">
        <v>751</v>
      </c>
      <c r="H10" s="25">
        <v>50000</v>
      </c>
    </row>
    <row r="11" spans="1:8" x14ac:dyDescent="0.35">
      <c r="A11" s="50">
        <v>43314</v>
      </c>
      <c r="B11" s="8"/>
      <c r="C11" s="8"/>
      <c r="D11" s="15"/>
      <c r="E11" s="15">
        <f t="shared" si="0"/>
        <v>0</v>
      </c>
      <c r="F11" s="49">
        <v>43323</v>
      </c>
      <c r="G11" s="8" t="s">
        <v>78</v>
      </c>
      <c r="H11" s="25">
        <v>642000</v>
      </c>
    </row>
    <row r="12" spans="1:8" x14ac:dyDescent="0.35">
      <c r="A12" s="50">
        <v>43314</v>
      </c>
      <c r="B12" s="8" t="s">
        <v>735</v>
      </c>
      <c r="C12" s="8">
        <v>1</v>
      </c>
      <c r="D12" s="15">
        <v>56000</v>
      </c>
      <c r="E12" s="15">
        <f t="shared" si="0"/>
        <v>56000</v>
      </c>
      <c r="F12" s="48">
        <v>43323</v>
      </c>
      <c r="G12" s="8" t="s">
        <v>236</v>
      </c>
      <c r="H12" s="25">
        <v>150000</v>
      </c>
    </row>
    <row r="13" spans="1:8" x14ac:dyDescent="0.35">
      <c r="A13" s="50">
        <v>43314</v>
      </c>
      <c r="B13" s="8" t="s">
        <v>365</v>
      </c>
      <c r="C13" s="8">
        <v>1</v>
      </c>
      <c r="D13" s="15">
        <v>10000</v>
      </c>
      <c r="E13" s="15">
        <f t="shared" si="0"/>
        <v>10000</v>
      </c>
      <c r="F13" s="39"/>
      <c r="G13" s="8"/>
      <c r="H13" s="25"/>
    </row>
    <row r="14" spans="1:8" x14ac:dyDescent="0.35">
      <c r="A14" s="50">
        <v>43314</v>
      </c>
      <c r="B14" s="8" t="s">
        <v>203</v>
      </c>
      <c r="C14" s="8">
        <v>2</v>
      </c>
      <c r="D14" s="15">
        <v>55000</v>
      </c>
      <c r="E14" s="15">
        <f t="shared" si="0"/>
        <v>110000</v>
      </c>
      <c r="F14" s="47">
        <v>43325</v>
      </c>
      <c r="G14" s="8" t="s">
        <v>236</v>
      </c>
      <c r="H14" s="25">
        <v>100000</v>
      </c>
    </row>
    <row r="15" spans="1:8" x14ac:dyDescent="0.35">
      <c r="A15" s="50">
        <v>43314</v>
      </c>
      <c r="B15" s="8" t="s">
        <v>52</v>
      </c>
      <c r="C15" s="8">
        <v>4</v>
      </c>
      <c r="D15" s="15">
        <v>47000</v>
      </c>
      <c r="E15" s="15">
        <f t="shared" si="0"/>
        <v>188000</v>
      </c>
      <c r="F15" s="39"/>
      <c r="G15" s="8"/>
      <c r="H15" s="25"/>
    </row>
    <row r="16" spans="1:8" x14ac:dyDescent="0.35">
      <c r="A16" s="50">
        <v>43314</v>
      </c>
      <c r="B16" s="8" t="s">
        <v>24</v>
      </c>
      <c r="C16" s="8">
        <v>3</v>
      </c>
      <c r="D16" s="15">
        <v>58000</v>
      </c>
      <c r="E16" s="15">
        <f t="shared" si="0"/>
        <v>174000</v>
      </c>
      <c r="F16" s="48">
        <v>43326</v>
      </c>
      <c r="G16" s="8" t="s">
        <v>77</v>
      </c>
      <c r="H16" s="25">
        <v>300000</v>
      </c>
    </row>
    <row r="17" spans="1:8" x14ac:dyDescent="0.35">
      <c r="A17" s="50">
        <v>43314</v>
      </c>
      <c r="B17" s="8" t="s">
        <v>124</v>
      </c>
      <c r="C17" s="8">
        <v>5</v>
      </c>
      <c r="D17" s="15">
        <v>48000</v>
      </c>
      <c r="E17" s="15">
        <f t="shared" si="0"/>
        <v>240000</v>
      </c>
      <c r="F17" s="39"/>
      <c r="G17" s="8"/>
      <c r="H17" s="25"/>
    </row>
    <row r="18" spans="1:8" x14ac:dyDescent="0.35">
      <c r="A18" s="50">
        <v>43314</v>
      </c>
      <c r="B18" s="8" t="s">
        <v>178</v>
      </c>
      <c r="C18" s="8">
        <v>21</v>
      </c>
      <c r="D18" s="15">
        <v>49000</v>
      </c>
      <c r="E18" s="15">
        <f>D18*C18</f>
        <v>1029000</v>
      </c>
      <c r="F18" s="49">
        <v>43327</v>
      </c>
      <c r="G18" s="8" t="s">
        <v>236</v>
      </c>
      <c r="H18" s="25">
        <v>250000</v>
      </c>
    </row>
    <row r="19" spans="1:8" x14ac:dyDescent="0.35">
      <c r="A19" s="50">
        <v>43314</v>
      </c>
      <c r="B19" s="8" t="s">
        <v>25</v>
      </c>
      <c r="C19" s="8">
        <v>8</v>
      </c>
      <c r="D19" s="15">
        <v>52000</v>
      </c>
      <c r="E19" s="15">
        <f t="shared" si="0"/>
        <v>416000</v>
      </c>
      <c r="F19" s="48">
        <v>43327</v>
      </c>
      <c r="G19" s="8" t="s">
        <v>76</v>
      </c>
      <c r="H19" s="25">
        <v>20000</v>
      </c>
    </row>
    <row r="20" spans="1:8" x14ac:dyDescent="0.35">
      <c r="A20" s="50">
        <v>43314</v>
      </c>
      <c r="B20" s="8" t="s">
        <v>582</v>
      </c>
      <c r="C20" s="8">
        <v>6</v>
      </c>
      <c r="D20" s="15">
        <v>50000</v>
      </c>
      <c r="E20" s="15">
        <f t="shared" si="0"/>
        <v>300000</v>
      </c>
      <c r="F20" s="39"/>
      <c r="G20" s="8"/>
      <c r="H20" s="25"/>
    </row>
    <row r="21" spans="1:8" x14ac:dyDescent="0.35">
      <c r="A21" s="50">
        <v>43314</v>
      </c>
      <c r="B21" s="8" t="s">
        <v>33</v>
      </c>
      <c r="C21" s="8">
        <v>2</v>
      </c>
      <c r="D21" s="15">
        <v>49000</v>
      </c>
      <c r="E21" s="15">
        <f t="shared" si="0"/>
        <v>98000</v>
      </c>
      <c r="F21" s="48">
        <v>43328</v>
      </c>
      <c r="G21" s="8" t="s">
        <v>76</v>
      </c>
      <c r="H21" s="25">
        <v>12000</v>
      </c>
    </row>
    <row r="22" spans="1:8" x14ac:dyDescent="0.35">
      <c r="A22" s="50">
        <v>43315</v>
      </c>
      <c r="B22" s="8"/>
      <c r="C22" s="8"/>
      <c r="D22" s="15"/>
      <c r="E22" s="15">
        <f t="shared" si="0"/>
        <v>0</v>
      </c>
      <c r="F22" s="39"/>
      <c r="G22" s="8"/>
      <c r="H22" s="25"/>
    </row>
    <row r="23" spans="1:8" x14ac:dyDescent="0.35">
      <c r="A23" s="50">
        <v>43315</v>
      </c>
      <c r="B23" s="8" t="s">
        <v>736</v>
      </c>
      <c r="C23" s="8">
        <v>50</v>
      </c>
      <c r="D23" s="15">
        <v>42000</v>
      </c>
      <c r="E23" s="15">
        <f t="shared" si="0"/>
        <v>2100000</v>
      </c>
      <c r="F23" s="49">
        <v>43330</v>
      </c>
      <c r="G23" s="8" t="s">
        <v>77</v>
      </c>
      <c r="H23" s="25">
        <v>325000</v>
      </c>
    </row>
    <row r="24" spans="1:8" x14ac:dyDescent="0.35">
      <c r="A24" s="50">
        <v>43315</v>
      </c>
      <c r="B24" s="8" t="s">
        <v>737</v>
      </c>
      <c r="C24" s="8">
        <v>19</v>
      </c>
      <c r="D24" s="15">
        <v>55000</v>
      </c>
      <c r="E24" s="15">
        <f t="shared" si="0"/>
        <v>1045000</v>
      </c>
      <c r="F24" s="48">
        <v>43330</v>
      </c>
      <c r="G24" s="8" t="s">
        <v>236</v>
      </c>
      <c r="H24" s="25">
        <v>130000</v>
      </c>
    </row>
    <row r="25" spans="1:8" x14ac:dyDescent="0.35">
      <c r="A25" s="50">
        <v>43315</v>
      </c>
      <c r="B25" s="8"/>
      <c r="C25" s="8"/>
      <c r="D25" s="15"/>
      <c r="E25" s="15">
        <f t="shared" si="0"/>
        <v>0</v>
      </c>
      <c r="F25" s="39"/>
      <c r="G25" s="8"/>
      <c r="H25" s="25"/>
    </row>
    <row r="26" spans="1:8" x14ac:dyDescent="0.35">
      <c r="A26" s="50">
        <v>43315</v>
      </c>
      <c r="B26" s="8" t="s">
        <v>214</v>
      </c>
      <c r="C26" s="8">
        <v>5</v>
      </c>
      <c r="D26" s="15">
        <v>46000</v>
      </c>
      <c r="E26" s="15">
        <f t="shared" si="0"/>
        <v>230000</v>
      </c>
      <c r="F26" s="49">
        <v>43332</v>
      </c>
      <c r="G26" s="8" t="s">
        <v>76</v>
      </c>
      <c r="H26" s="25">
        <v>15000</v>
      </c>
    </row>
    <row r="27" spans="1:8" x14ac:dyDescent="0.35">
      <c r="A27" s="50">
        <v>43315</v>
      </c>
      <c r="B27" s="8" t="s">
        <v>737</v>
      </c>
      <c r="C27" s="8">
        <v>1</v>
      </c>
      <c r="D27" s="15">
        <v>55000</v>
      </c>
      <c r="E27" s="15">
        <f t="shared" si="0"/>
        <v>55000</v>
      </c>
      <c r="F27" s="48">
        <v>43332</v>
      </c>
      <c r="G27" s="8" t="s">
        <v>236</v>
      </c>
      <c r="H27" s="25">
        <v>100000</v>
      </c>
    </row>
    <row r="28" spans="1:8" x14ac:dyDescent="0.35">
      <c r="A28" s="50">
        <v>43315</v>
      </c>
      <c r="B28" s="8" t="s">
        <v>5</v>
      </c>
      <c r="C28" s="8">
        <v>1</v>
      </c>
      <c r="D28" s="15">
        <v>13000</v>
      </c>
      <c r="E28" s="15">
        <f t="shared" si="0"/>
        <v>13000</v>
      </c>
      <c r="F28" s="39"/>
      <c r="G28" s="8"/>
      <c r="H28" s="25"/>
    </row>
    <row r="29" spans="1:8" x14ac:dyDescent="0.35">
      <c r="A29" s="50">
        <v>43315</v>
      </c>
      <c r="B29" s="8" t="s">
        <v>33</v>
      </c>
      <c r="C29" s="8">
        <v>2</v>
      </c>
      <c r="D29" s="15">
        <v>49000</v>
      </c>
      <c r="E29" s="15">
        <f t="shared" si="0"/>
        <v>98000</v>
      </c>
      <c r="F29" s="49">
        <v>43333</v>
      </c>
      <c r="G29" s="8" t="s">
        <v>236</v>
      </c>
      <c r="H29" s="25">
        <v>100000</v>
      </c>
    </row>
    <row r="30" spans="1:8" x14ac:dyDescent="0.35">
      <c r="A30" s="50">
        <v>43315</v>
      </c>
      <c r="B30" s="8" t="s">
        <v>112</v>
      </c>
      <c r="C30" s="8">
        <v>1</v>
      </c>
      <c r="D30" s="15">
        <v>43000</v>
      </c>
      <c r="E30" s="15">
        <f t="shared" si="0"/>
        <v>43000</v>
      </c>
      <c r="F30" s="48">
        <v>43333</v>
      </c>
      <c r="G30" s="8" t="s">
        <v>76</v>
      </c>
      <c r="H30" s="25">
        <v>15000</v>
      </c>
    </row>
    <row r="31" spans="1:8" x14ac:dyDescent="0.35">
      <c r="A31" s="50">
        <v>43315</v>
      </c>
      <c r="B31" s="8" t="s">
        <v>188</v>
      </c>
      <c r="C31" s="8">
        <v>1</v>
      </c>
      <c r="D31" s="15">
        <v>48000</v>
      </c>
      <c r="E31" s="15">
        <f t="shared" si="0"/>
        <v>48000</v>
      </c>
      <c r="F31" s="39"/>
      <c r="G31" s="8"/>
      <c r="H31" s="25"/>
    </row>
    <row r="32" spans="1:8" x14ac:dyDescent="0.35">
      <c r="A32" s="50">
        <v>43316</v>
      </c>
      <c r="B32" s="8"/>
      <c r="C32" s="8"/>
      <c r="D32" s="15"/>
      <c r="E32" s="15">
        <f t="shared" si="0"/>
        <v>0</v>
      </c>
      <c r="F32" s="49">
        <v>43335</v>
      </c>
      <c r="G32" s="8" t="s">
        <v>17</v>
      </c>
      <c r="H32" s="25">
        <v>150000</v>
      </c>
    </row>
    <row r="33" spans="1:8" x14ac:dyDescent="0.35">
      <c r="A33" s="50">
        <v>43316</v>
      </c>
      <c r="B33" s="8" t="s">
        <v>292</v>
      </c>
      <c r="C33" s="8">
        <v>4</v>
      </c>
      <c r="D33" s="15">
        <v>53000</v>
      </c>
      <c r="E33" s="15">
        <f t="shared" si="0"/>
        <v>212000</v>
      </c>
      <c r="F33" s="48">
        <v>43335</v>
      </c>
      <c r="G33" s="8" t="s">
        <v>793</v>
      </c>
      <c r="H33" s="25">
        <v>400000</v>
      </c>
    </row>
    <row r="34" spans="1:8" x14ac:dyDescent="0.35">
      <c r="A34" s="50">
        <v>43316</v>
      </c>
      <c r="B34" s="8" t="s">
        <v>33</v>
      </c>
      <c r="C34" s="8">
        <v>2</v>
      </c>
      <c r="D34" s="15">
        <v>48000</v>
      </c>
      <c r="E34" s="15">
        <f t="shared" si="0"/>
        <v>96000</v>
      </c>
      <c r="F34" s="39"/>
      <c r="G34" s="8"/>
      <c r="H34" s="25"/>
    </row>
    <row r="35" spans="1:8" x14ac:dyDescent="0.35">
      <c r="A35" s="50">
        <v>43316</v>
      </c>
      <c r="B35" s="8" t="s">
        <v>471</v>
      </c>
      <c r="C35" s="8">
        <v>16</v>
      </c>
      <c r="D35" s="15">
        <v>57000</v>
      </c>
      <c r="E35" s="15">
        <f t="shared" si="0"/>
        <v>912000</v>
      </c>
      <c r="F35" s="49">
        <v>43337</v>
      </c>
      <c r="G35" s="8" t="s">
        <v>77</v>
      </c>
      <c r="H35" s="25">
        <v>330000</v>
      </c>
    </row>
    <row r="36" spans="1:8" x14ac:dyDescent="0.35">
      <c r="A36" s="50">
        <v>43316</v>
      </c>
      <c r="B36" s="8" t="s">
        <v>553</v>
      </c>
      <c r="C36" s="8">
        <v>4</v>
      </c>
      <c r="D36" s="15">
        <v>50000</v>
      </c>
      <c r="E36" s="15">
        <f t="shared" si="0"/>
        <v>200000</v>
      </c>
      <c r="F36" s="48">
        <v>43337</v>
      </c>
      <c r="G36" s="8" t="s">
        <v>794</v>
      </c>
      <c r="H36" s="25">
        <v>10000</v>
      </c>
    </row>
    <row r="37" spans="1:8" x14ac:dyDescent="0.35">
      <c r="A37" s="50">
        <v>43316</v>
      </c>
      <c r="B37" s="8" t="s">
        <v>738</v>
      </c>
      <c r="C37" s="8">
        <v>15</v>
      </c>
      <c r="D37" s="15">
        <v>2000</v>
      </c>
      <c r="E37" s="15">
        <f t="shared" si="0"/>
        <v>30000</v>
      </c>
      <c r="F37" s="39"/>
      <c r="G37" s="8"/>
      <c r="H37" s="25"/>
    </row>
    <row r="38" spans="1:8" x14ac:dyDescent="0.35">
      <c r="A38" s="50">
        <v>43316</v>
      </c>
      <c r="B38" s="8" t="s">
        <v>34</v>
      </c>
      <c r="C38" s="8">
        <v>10</v>
      </c>
      <c r="D38" s="15">
        <v>48000</v>
      </c>
      <c r="E38" s="15">
        <f t="shared" si="0"/>
        <v>480000</v>
      </c>
      <c r="F38" s="48">
        <v>43339</v>
      </c>
      <c r="G38" s="8" t="s">
        <v>277</v>
      </c>
      <c r="H38" s="25">
        <v>20000</v>
      </c>
    </row>
    <row r="39" spans="1:8" x14ac:dyDescent="0.35">
      <c r="A39" s="50">
        <v>43316</v>
      </c>
      <c r="B39" s="8" t="s">
        <v>713</v>
      </c>
      <c r="C39" s="8">
        <v>3</v>
      </c>
      <c r="D39" s="15">
        <v>55000</v>
      </c>
      <c r="E39" s="15">
        <f t="shared" si="0"/>
        <v>165000</v>
      </c>
      <c r="F39" s="39"/>
      <c r="G39" s="8"/>
      <c r="H39" s="25"/>
    </row>
    <row r="40" spans="1:8" x14ac:dyDescent="0.35">
      <c r="A40" s="50">
        <v>43316</v>
      </c>
      <c r="B40" s="8" t="s">
        <v>739</v>
      </c>
      <c r="C40" s="8">
        <v>2</v>
      </c>
      <c r="D40" s="15">
        <v>8000</v>
      </c>
      <c r="E40" s="15">
        <f t="shared" si="0"/>
        <v>16000</v>
      </c>
      <c r="F40" s="49">
        <v>43341</v>
      </c>
      <c r="G40" s="8" t="s">
        <v>16</v>
      </c>
      <c r="H40" s="25">
        <v>25000</v>
      </c>
    </row>
    <row r="41" spans="1:8" x14ac:dyDescent="0.35">
      <c r="A41" s="50">
        <v>43317</v>
      </c>
      <c r="B41" s="8"/>
      <c r="C41" s="8"/>
      <c r="D41" s="15"/>
      <c r="E41" s="15">
        <f t="shared" si="0"/>
        <v>0</v>
      </c>
      <c r="F41" s="49">
        <v>43341</v>
      </c>
      <c r="G41" s="8" t="s">
        <v>17</v>
      </c>
      <c r="H41" s="25">
        <v>100000</v>
      </c>
    </row>
    <row r="42" spans="1:8" x14ac:dyDescent="0.35">
      <c r="A42" s="50">
        <v>43317</v>
      </c>
      <c r="B42" s="8" t="s">
        <v>404</v>
      </c>
      <c r="C42" s="8">
        <v>1</v>
      </c>
      <c r="D42" s="15">
        <v>48000</v>
      </c>
      <c r="E42" s="15">
        <f t="shared" si="0"/>
        <v>48000</v>
      </c>
      <c r="F42" s="48">
        <v>43341</v>
      </c>
      <c r="G42" s="8" t="s">
        <v>236</v>
      </c>
      <c r="H42" s="25">
        <v>200000</v>
      </c>
    </row>
    <row r="43" spans="1:8" x14ac:dyDescent="0.35">
      <c r="A43" s="50">
        <v>43317</v>
      </c>
      <c r="B43" s="8" t="s">
        <v>52</v>
      </c>
      <c r="C43" s="8">
        <v>1</v>
      </c>
      <c r="D43" s="15">
        <v>47000</v>
      </c>
      <c r="E43" s="15">
        <f t="shared" si="0"/>
        <v>47000</v>
      </c>
      <c r="F43" s="39"/>
      <c r="G43" s="8"/>
      <c r="H43" s="25"/>
    </row>
    <row r="44" spans="1:8" x14ac:dyDescent="0.35">
      <c r="A44" s="50">
        <v>43317</v>
      </c>
      <c r="B44" s="8" t="s">
        <v>483</v>
      </c>
      <c r="C44" s="8">
        <v>6</v>
      </c>
      <c r="D44" s="15">
        <v>53000</v>
      </c>
      <c r="E44" s="15">
        <f t="shared" si="0"/>
        <v>318000</v>
      </c>
      <c r="F44" s="49">
        <v>43342</v>
      </c>
      <c r="G44" s="8" t="s">
        <v>14</v>
      </c>
      <c r="H44" s="25">
        <v>20000</v>
      </c>
    </row>
    <row r="45" spans="1:8" x14ac:dyDescent="0.35">
      <c r="A45" s="50">
        <v>43317</v>
      </c>
      <c r="B45" s="8" t="s">
        <v>740</v>
      </c>
      <c r="C45" s="8">
        <v>10</v>
      </c>
      <c r="D45" s="15">
        <v>57000</v>
      </c>
      <c r="E45" s="15">
        <f t="shared" si="0"/>
        <v>570000</v>
      </c>
      <c r="F45" s="49"/>
      <c r="G45" s="8"/>
      <c r="H45" s="25"/>
    </row>
    <row r="46" spans="1:8" x14ac:dyDescent="0.35">
      <c r="A46" s="50">
        <v>43317</v>
      </c>
      <c r="B46" s="8" t="s">
        <v>220</v>
      </c>
      <c r="C46" s="8">
        <v>40</v>
      </c>
      <c r="D46" s="15">
        <v>48000</v>
      </c>
      <c r="E46" s="15">
        <f t="shared" si="0"/>
        <v>1920000</v>
      </c>
      <c r="F46" s="48"/>
      <c r="G46" s="8"/>
      <c r="H46" s="25">
        <f>SUM(H2:H44)</f>
        <v>4419000</v>
      </c>
    </row>
    <row r="47" spans="1:8" x14ac:dyDescent="0.35">
      <c r="A47" s="50">
        <v>43317</v>
      </c>
      <c r="B47" s="8" t="s">
        <v>33</v>
      </c>
      <c r="C47" s="8">
        <v>9</v>
      </c>
      <c r="D47" s="15">
        <v>49000</v>
      </c>
      <c r="E47" s="15">
        <f t="shared" si="0"/>
        <v>441000</v>
      </c>
      <c r="F47" s="19"/>
      <c r="G47" s="8"/>
      <c r="H47" s="25"/>
    </row>
    <row r="48" spans="1:8" x14ac:dyDescent="0.35">
      <c r="A48" s="50">
        <v>43317</v>
      </c>
      <c r="B48" s="8" t="s">
        <v>112</v>
      </c>
      <c r="C48" s="8">
        <v>28</v>
      </c>
      <c r="D48" s="15">
        <v>43500</v>
      </c>
      <c r="E48" s="15">
        <f t="shared" si="0"/>
        <v>1218000</v>
      </c>
      <c r="F48" s="19"/>
      <c r="G48" s="8"/>
      <c r="H48" s="25"/>
    </row>
    <row r="49" spans="1:8" x14ac:dyDescent="0.35">
      <c r="A49" s="50">
        <v>43317</v>
      </c>
      <c r="B49" s="8" t="s">
        <v>109</v>
      </c>
      <c r="C49" s="8">
        <v>36</v>
      </c>
      <c r="D49" s="15">
        <v>35500</v>
      </c>
      <c r="E49" s="15">
        <f t="shared" si="0"/>
        <v>1278000</v>
      </c>
      <c r="F49" s="19"/>
      <c r="G49" s="8"/>
      <c r="H49" s="25"/>
    </row>
    <row r="50" spans="1:8" x14ac:dyDescent="0.35">
      <c r="A50" s="50">
        <v>43317</v>
      </c>
      <c r="B50" s="8" t="s">
        <v>4</v>
      </c>
      <c r="C50" s="8">
        <v>26</v>
      </c>
      <c r="D50" s="15">
        <v>35500</v>
      </c>
      <c r="E50" s="15">
        <f t="shared" si="0"/>
        <v>923000</v>
      </c>
      <c r="F50" s="19"/>
      <c r="G50" s="8"/>
      <c r="H50" s="25"/>
    </row>
    <row r="51" spans="1:8" x14ac:dyDescent="0.35">
      <c r="A51" s="50">
        <v>43317</v>
      </c>
      <c r="B51" s="8" t="s">
        <v>118</v>
      </c>
      <c r="C51" s="8">
        <v>6</v>
      </c>
      <c r="D51" s="15">
        <v>46000</v>
      </c>
      <c r="E51" s="15">
        <f t="shared" si="0"/>
        <v>276000</v>
      </c>
      <c r="F51" s="19"/>
      <c r="G51" s="8"/>
      <c r="H51" s="25"/>
    </row>
    <row r="52" spans="1:8" x14ac:dyDescent="0.35">
      <c r="A52" s="50">
        <v>43317</v>
      </c>
      <c r="B52" s="8" t="s">
        <v>220</v>
      </c>
      <c r="C52" s="8">
        <v>16</v>
      </c>
      <c r="D52" s="15">
        <v>48000</v>
      </c>
      <c r="E52" s="15">
        <f t="shared" si="0"/>
        <v>768000</v>
      </c>
      <c r="F52" s="19"/>
      <c r="G52" s="8"/>
      <c r="H52" s="25"/>
    </row>
    <row r="53" spans="1:8" x14ac:dyDescent="0.35">
      <c r="A53" s="50">
        <v>43317</v>
      </c>
      <c r="B53" s="8" t="s">
        <v>24</v>
      </c>
      <c r="C53" s="8">
        <v>4</v>
      </c>
      <c r="D53" s="15">
        <v>58000</v>
      </c>
      <c r="E53" s="15">
        <f t="shared" si="0"/>
        <v>232000</v>
      </c>
      <c r="F53" s="19"/>
      <c r="G53" s="8"/>
      <c r="H53" s="25"/>
    </row>
    <row r="54" spans="1:8" x14ac:dyDescent="0.35">
      <c r="A54" s="50">
        <v>43317</v>
      </c>
      <c r="B54" s="8" t="s">
        <v>220</v>
      </c>
      <c r="C54" s="8">
        <v>44</v>
      </c>
      <c r="D54" s="15">
        <v>43000</v>
      </c>
      <c r="E54" s="15">
        <f t="shared" si="0"/>
        <v>1892000</v>
      </c>
      <c r="F54" s="19"/>
      <c r="G54" s="8"/>
      <c r="H54" s="25"/>
    </row>
    <row r="55" spans="1:8" x14ac:dyDescent="0.35">
      <c r="A55" s="50">
        <v>43317</v>
      </c>
      <c r="B55" s="8" t="s">
        <v>109</v>
      </c>
      <c r="C55" s="8">
        <v>36</v>
      </c>
      <c r="D55" s="15">
        <v>35500</v>
      </c>
      <c r="E55" s="15">
        <f t="shared" si="0"/>
        <v>1278000</v>
      </c>
      <c r="F55" s="19"/>
      <c r="G55" s="8"/>
      <c r="H55" s="25"/>
    </row>
    <row r="56" spans="1:8" x14ac:dyDescent="0.35">
      <c r="A56" s="50">
        <v>43317</v>
      </c>
      <c r="B56" s="8" t="s">
        <v>112</v>
      </c>
      <c r="C56" s="8">
        <v>14</v>
      </c>
      <c r="D56" s="15">
        <v>42000</v>
      </c>
      <c r="E56" s="15">
        <f t="shared" si="0"/>
        <v>588000</v>
      </c>
      <c r="F56" s="19"/>
      <c r="G56" s="8"/>
      <c r="H56" s="25"/>
    </row>
    <row r="57" spans="1:8" x14ac:dyDescent="0.35">
      <c r="A57" s="50">
        <v>43317</v>
      </c>
      <c r="B57" s="8" t="s">
        <v>572</v>
      </c>
      <c r="C57" s="8">
        <v>15</v>
      </c>
      <c r="D57" s="15">
        <v>2000</v>
      </c>
      <c r="E57" s="15">
        <f t="shared" si="0"/>
        <v>30000</v>
      </c>
      <c r="F57" s="19"/>
      <c r="G57" s="8"/>
      <c r="H57" s="25"/>
    </row>
    <row r="58" spans="1:8" x14ac:dyDescent="0.35">
      <c r="A58" s="50">
        <v>43317</v>
      </c>
      <c r="B58" s="8" t="s">
        <v>741</v>
      </c>
      <c r="C58" s="8">
        <v>1</v>
      </c>
      <c r="D58" s="15">
        <v>10000</v>
      </c>
      <c r="E58" s="15">
        <f t="shared" si="0"/>
        <v>10000</v>
      </c>
      <c r="F58" s="19"/>
      <c r="G58" s="8"/>
      <c r="H58" s="25"/>
    </row>
    <row r="59" spans="1:8" x14ac:dyDescent="0.35">
      <c r="A59" s="50">
        <v>43317</v>
      </c>
      <c r="B59" s="8" t="s">
        <v>543</v>
      </c>
      <c r="C59" s="8">
        <v>2</v>
      </c>
      <c r="D59" s="15">
        <v>15000</v>
      </c>
      <c r="E59" s="15">
        <f t="shared" si="0"/>
        <v>30000</v>
      </c>
      <c r="F59" s="19"/>
      <c r="G59" s="8"/>
      <c r="H59" s="25"/>
    </row>
    <row r="60" spans="1:8" x14ac:dyDescent="0.35">
      <c r="A60" s="50">
        <v>43317</v>
      </c>
      <c r="B60" s="8" t="s">
        <v>44</v>
      </c>
      <c r="C60" s="8">
        <v>20</v>
      </c>
      <c r="D60" s="15">
        <v>54000</v>
      </c>
      <c r="E60" s="15">
        <f t="shared" si="0"/>
        <v>1080000</v>
      </c>
      <c r="F60" s="19"/>
      <c r="G60" s="8"/>
      <c r="H60" s="25"/>
    </row>
    <row r="61" spans="1:8" x14ac:dyDescent="0.35">
      <c r="A61" s="50">
        <v>43319</v>
      </c>
      <c r="B61" s="8"/>
      <c r="C61" s="8"/>
      <c r="D61" s="15"/>
      <c r="E61" s="15">
        <f t="shared" si="0"/>
        <v>0</v>
      </c>
      <c r="F61" s="19"/>
      <c r="G61" s="8"/>
      <c r="H61" s="25"/>
    </row>
    <row r="62" spans="1:8" x14ac:dyDescent="0.35">
      <c r="A62" s="50">
        <v>43319</v>
      </c>
      <c r="B62" s="8" t="s">
        <v>24</v>
      </c>
      <c r="C62" s="8">
        <v>4</v>
      </c>
      <c r="D62" s="15">
        <v>57500</v>
      </c>
      <c r="E62" s="15">
        <f t="shared" si="0"/>
        <v>230000</v>
      </c>
      <c r="F62" s="19"/>
      <c r="G62" s="8"/>
      <c r="H62" s="25"/>
    </row>
    <row r="63" spans="1:8" x14ac:dyDescent="0.35">
      <c r="A63" s="50">
        <v>43319</v>
      </c>
      <c r="B63" s="8" t="s">
        <v>38</v>
      </c>
      <c r="C63" s="8">
        <v>8</v>
      </c>
      <c r="D63" s="15">
        <v>50000</v>
      </c>
      <c r="E63" s="15">
        <f t="shared" si="0"/>
        <v>400000</v>
      </c>
      <c r="F63" s="19"/>
      <c r="G63" s="8"/>
      <c r="H63" s="25"/>
    </row>
    <row r="64" spans="1:8" x14ac:dyDescent="0.35">
      <c r="A64" s="50">
        <v>43319</v>
      </c>
      <c r="B64" s="8" t="s">
        <v>742</v>
      </c>
      <c r="C64" s="8">
        <v>23</v>
      </c>
      <c r="D64" s="15">
        <v>53500</v>
      </c>
      <c r="E64" s="15">
        <f t="shared" si="0"/>
        <v>1230500</v>
      </c>
      <c r="F64" s="19"/>
      <c r="G64" s="8"/>
      <c r="H64" s="25"/>
    </row>
    <row r="65" spans="1:8" x14ac:dyDescent="0.35">
      <c r="A65" s="50">
        <v>43319</v>
      </c>
      <c r="B65" s="8" t="s">
        <v>743</v>
      </c>
      <c r="C65" s="8">
        <v>14</v>
      </c>
      <c r="D65" s="15">
        <v>46000</v>
      </c>
      <c r="E65" s="15">
        <f t="shared" si="0"/>
        <v>644000</v>
      </c>
      <c r="F65" s="19"/>
      <c r="G65" s="8"/>
      <c r="H65" s="25"/>
    </row>
    <row r="66" spans="1:8" x14ac:dyDescent="0.35">
      <c r="A66" s="50">
        <v>43319</v>
      </c>
      <c r="B66" s="8" t="s">
        <v>136</v>
      </c>
      <c r="C66" s="8">
        <v>2</v>
      </c>
      <c r="D66" s="15">
        <v>59000</v>
      </c>
      <c r="E66" s="15">
        <f t="shared" si="0"/>
        <v>118000</v>
      </c>
      <c r="F66" s="19"/>
      <c r="G66" s="8"/>
      <c r="H66" s="25"/>
    </row>
    <row r="67" spans="1:8" x14ac:dyDescent="0.35">
      <c r="A67" s="50">
        <v>43320</v>
      </c>
      <c r="B67" s="8"/>
      <c r="C67" s="8"/>
      <c r="D67" s="15"/>
      <c r="E67" s="15">
        <f t="shared" si="0"/>
        <v>0</v>
      </c>
      <c r="F67" s="19"/>
      <c r="G67" s="8"/>
      <c r="H67" s="25"/>
    </row>
    <row r="68" spans="1:8" x14ac:dyDescent="0.35">
      <c r="A68" s="50">
        <v>43320</v>
      </c>
      <c r="B68" s="8"/>
      <c r="C68" s="8"/>
      <c r="D68" s="15"/>
      <c r="E68" s="15">
        <f t="shared" ref="E68:E131" si="1">D68*C68</f>
        <v>0</v>
      </c>
      <c r="F68" s="19"/>
      <c r="G68" s="8"/>
      <c r="H68" s="25"/>
    </row>
    <row r="69" spans="1:8" x14ac:dyDescent="0.35">
      <c r="A69" s="50">
        <v>43320</v>
      </c>
      <c r="B69" s="8" t="s">
        <v>744</v>
      </c>
      <c r="C69" s="8">
        <v>2</v>
      </c>
      <c r="D69" s="15">
        <v>55000</v>
      </c>
      <c r="E69" s="15">
        <f t="shared" si="1"/>
        <v>110000</v>
      </c>
      <c r="F69" s="19"/>
      <c r="G69" s="8"/>
      <c r="H69" s="25"/>
    </row>
    <row r="70" spans="1:8" x14ac:dyDescent="0.35">
      <c r="A70" s="50">
        <v>43320</v>
      </c>
      <c r="B70" s="8" t="s">
        <v>745</v>
      </c>
      <c r="C70" s="8">
        <v>9</v>
      </c>
      <c r="D70" s="15">
        <v>49500</v>
      </c>
      <c r="E70" s="15">
        <f t="shared" si="1"/>
        <v>445500</v>
      </c>
      <c r="F70" s="19"/>
      <c r="G70" s="8"/>
      <c r="H70" s="25"/>
    </row>
    <row r="71" spans="1:8" x14ac:dyDescent="0.35">
      <c r="A71" s="50">
        <v>43320</v>
      </c>
      <c r="B71" s="8" t="s">
        <v>25</v>
      </c>
      <c r="C71" s="8">
        <v>3</v>
      </c>
      <c r="D71" s="15">
        <v>55000</v>
      </c>
      <c r="E71" s="15">
        <f t="shared" si="1"/>
        <v>165000</v>
      </c>
      <c r="F71" s="19"/>
      <c r="G71" s="8"/>
      <c r="H71" s="25"/>
    </row>
    <row r="72" spans="1:8" x14ac:dyDescent="0.35">
      <c r="A72" s="50">
        <v>43320</v>
      </c>
      <c r="B72" s="8" t="s">
        <v>24</v>
      </c>
      <c r="C72" s="8">
        <v>1</v>
      </c>
      <c r="D72" s="15">
        <v>58000</v>
      </c>
      <c r="E72" s="15">
        <f t="shared" si="1"/>
        <v>58000</v>
      </c>
      <c r="F72" s="19"/>
      <c r="G72" s="8"/>
      <c r="H72" s="25"/>
    </row>
    <row r="73" spans="1:8" x14ac:dyDescent="0.35">
      <c r="A73" s="50">
        <v>43321</v>
      </c>
      <c r="B73" s="8"/>
      <c r="C73" s="8"/>
      <c r="D73" s="15"/>
      <c r="E73" s="15">
        <f t="shared" si="1"/>
        <v>0</v>
      </c>
      <c r="F73" s="19"/>
      <c r="G73" s="8"/>
      <c r="H73" s="25"/>
    </row>
    <row r="74" spans="1:8" x14ac:dyDescent="0.35">
      <c r="A74" s="50">
        <v>43321</v>
      </c>
      <c r="B74" s="8" t="s">
        <v>746</v>
      </c>
      <c r="C74" s="8">
        <v>11</v>
      </c>
      <c r="D74" s="15">
        <v>8000</v>
      </c>
      <c r="E74" s="15">
        <f t="shared" si="1"/>
        <v>88000</v>
      </c>
      <c r="F74" s="19"/>
      <c r="G74" s="8"/>
      <c r="H74" s="25"/>
    </row>
    <row r="75" spans="1:8" x14ac:dyDescent="0.35">
      <c r="A75" s="50">
        <v>43321</v>
      </c>
      <c r="B75" s="8" t="s">
        <v>747</v>
      </c>
      <c r="C75" s="8">
        <v>1</v>
      </c>
      <c r="D75" s="15">
        <v>48000</v>
      </c>
      <c r="E75" s="15">
        <f t="shared" si="1"/>
        <v>48000</v>
      </c>
      <c r="F75" s="19"/>
      <c r="G75" s="8"/>
      <c r="H75" s="25"/>
    </row>
    <row r="76" spans="1:8" x14ac:dyDescent="0.35">
      <c r="A76" s="50">
        <v>43321</v>
      </c>
      <c r="B76" s="8" t="s">
        <v>350</v>
      </c>
      <c r="C76" s="8">
        <v>3</v>
      </c>
      <c r="D76" s="15">
        <v>57000</v>
      </c>
      <c r="E76" s="15">
        <f t="shared" si="1"/>
        <v>171000</v>
      </c>
      <c r="F76" s="19"/>
      <c r="G76" s="8"/>
      <c r="H76" s="25"/>
    </row>
    <row r="77" spans="1:8" x14ac:dyDescent="0.35">
      <c r="A77" s="50">
        <v>43321</v>
      </c>
      <c r="B77" s="8" t="s">
        <v>321</v>
      </c>
      <c r="C77" s="8">
        <v>11</v>
      </c>
      <c r="D77" s="15">
        <v>53000</v>
      </c>
      <c r="E77" s="15">
        <f t="shared" si="1"/>
        <v>583000</v>
      </c>
      <c r="F77" s="19"/>
      <c r="G77" s="8"/>
      <c r="H77" s="25"/>
    </row>
    <row r="78" spans="1:8" x14ac:dyDescent="0.35">
      <c r="A78" s="50">
        <v>43321</v>
      </c>
      <c r="B78" s="8" t="s">
        <v>312</v>
      </c>
      <c r="C78" s="8">
        <v>50</v>
      </c>
      <c r="D78" s="15">
        <v>2500</v>
      </c>
      <c r="E78" s="15">
        <f t="shared" si="1"/>
        <v>125000</v>
      </c>
      <c r="F78" s="19"/>
      <c r="G78" s="8"/>
      <c r="H78" s="25"/>
    </row>
    <row r="79" spans="1:8" x14ac:dyDescent="0.35">
      <c r="A79" s="50">
        <v>43322</v>
      </c>
      <c r="B79" s="8"/>
      <c r="C79" s="8"/>
      <c r="D79" s="15"/>
      <c r="E79" s="15">
        <f t="shared" si="1"/>
        <v>0</v>
      </c>
      <c r="F79" s="19"/>
      <c r="G79" s="8"/>
      <c r="H79" s="25"/>
    </row>
    <row r="80" spans="1:8" x14ac:dyDescent="0.35">
      <c r="A80" s="50">
        <v>43322</v>
      </c>
      <c r="B80" s="8" t="s">
        <v>23</v>
      </c>
      <c r="C80" s="8">
        <v>6</v>
      </c>
      <c r="D80" s="15">
        <v>49000</v>
      </c>
      <c r="E80" s="15">
        <f t="shared" si="1"/>
        <v>294000</v>
      </c>
      <c r="F80" s="19"/>
      <c r="G80" s="8"/>
      <c r="H80" s="25"/>
    </row>
    <row r="81" spans="1:8" x14ac:dyDescent="0.35">
      <c r="A81" s="50">
        <v>43322</v>
      </c>
      <c r="B81" s="8" t="s">
        <v>12</v>
      </c>
      <c r="C81" s="8">
        <v>1</v>
      </c>
      <c r="D81" s="15">
        <v>53000</v>
      </c>
      <c r="E81" s="15">
        <f t="shared" si="1"/>
        <v>53000</v>
      </c>
      <c r="F81" s="19"/>
      <c r="G81" s="8"/>
      <c r="H81" s="25"/>
    </row>
    <row r="82" spans="1:8" x14ac:dyDescent="0.35">
      <c r="A82" s="50">
        <v>43322</v>
      </c>
      <c r="B82" s="8" t="s">
        <v>350</v>
      </c>
      <c r="C82" s="8">
        <v>1</v>
      </c>
      <c r="D82" s="15">
        <v>57000</v>
      </c>
      <c r="E82" s="15">
        <f t="shared" si="1"/>
        <v>57000</v>
      </c>
      <c r="F82" s="19"/>
      <c r="G82" s="8"/>
      <c r="H82" s="25"/>
    </row>
    <row r="83" spans="1:8" x14ac:dyDescent="0.35">
      <c r="A83" s="50">
        <v>43322</v>
      </c>
      <c r="B83" s="8" t="s">
        <v>38</v>
      </c>
      <c r="C83" s="8">
        <v>18</v>
      </c>
      <c r="D83" s="15">
        <v>50000</v>
      </c>
      <c r="E83" s="15">
        <f t="shared" si="1"/>
        <v>900000</v>
      </c>
      <c r="F83" s="19"/>
      <c r="G83" s="8"/>
      <c r="H83" s="25"/>
    </row>
    <row r="84" spans="1:8" x14ac:dyDescent="0.35">
      <c r="A84" s="50">
        <v>43322</v>
      </c>
      <c r="B84" s="8" t="s">
        <v>404</v>
      </c>
      <c r="C84" s="8">
        <v>2</v>
      </c>
      <c r="D84" s="15">
        <v>48000</v>
      </c>
      <c r="E84" s="15">
        <f t="shared" si="1"/>
        <v>96000</v>
      </c>
      <c r="F84" s="19"/>
      <c r="G84" s="8"/>
      <c r="H84" s="25"/>
    </row>
    <row r="85" spans="1:8" x14ac:dyDescent="0.35">
      <c r="A85" s="50">
        <v>43322</v>
      </c>
      <c r="B85" s="8" t="s">
        <v>749</v>
      </c>
      <c r="C85" s="8">
        <v>6</v>
      </c>
      <c r="D85" s="15">
        <v>60000</v>
      </c>
      <c r="E85" s="15">
        <f t="shared" si="1"/>
        <v>360000</v>
      </c>
      <c r="F85" s="19"/>
      <c r="G85" s="8"/>
      <c r="H85" s="25"/>
    </row>
    <row r="86" spans="1:8" x14ac:dyDescent="0.35">
      <c r="A86" s="50">
        <v>43322</v>
      </c>
      <c r="B86" s="8" t="s">
        <v>43</v>
      </c>
      <c r="C86" s="8">
        <v>6</v>
      </c>
      <c r="D86" s="15">
        <v>47000</v>
      </c>
      <c r="E86" s="15">
        <f t="shared" si="1"/>
        <v>282000</v>
      </c>
      <c r="F86" s="19"/>
      <c r="G86" s="8"/>
      <c r="H86" s="25"/>
    </row>
    <row r="87" spans="1:8" x14ac:dyDescent="0.35">
      <c r="A87" s="50">
        <v>43322</v>
      </c>
      <c r="B87" s="8" t="s">
        <v>367</v>
      </c>
      <c r="C87" s="8">
        <v>3</v>
      </c>
      <c r="D87" s="15">
        <v>54000</v>
      </c>
      <c r="E87" s="15">
        <f t="shared" si="1"/>
        <v>162000</v>
      </c>
      <c r="F87" s="19"/>
      <c r="G87" s="8"/>
      <c r="H87" s="25"/>
    </row>
    <row r="88" spans="1:8" x14ac:dyDescent="0.35">
      <c r="A88" s="50">
        <v>43322</v>
      </c>
      <c r="B88" s="8" t="s">
        <v>748</v>
      </c>
      <c r="C88" s="8">
        <v>5</v>
      </c>
      <c r="D88" s="15">
        <v>170000</v>
      </c>
      <c r="E88" s="15">
        <f t="shared" si="1"/>
        <v>850000</v>
      </c>
      <c r="F88" s="19"/>
      <c r="G88" s="8"/>
      <c r="H88" s="25"/>
    </row>
    <row r="89" spans="1:8" x14ac:dyDescent="0.35">
      <c r="A89" s="50">
        <v>43322</v>
      </c>
      <c r="B89" s="8" t="s">
        <v>750</v>
      </c>
      <c r="C89" s="8">
        <v>20</v>
      </c>
      <c r="D89" s="15">
        <v>43500</v>
      </c>
      <c r="E89" s="15">
        <f t="shared" si="1"/>
        <v>870000</v>
      </c>
      <c r="F89" s="19"/>
      <c r="G89" s="8"/>
      <c r="H89" s="25"/>
    </row>
    <row r="90" spans="1:8" x14ac:dyDescent="0.35">
      <c r="A90" s="50">
        <v>43323</v>
      </c>
      <c r="B90" s="8"/>
      <c r="C90" s="8"/>
      <c r="D90" s="15"/>
      <c r="E90" s="15">
        <f t="shared" si="1"/>
        <v>0</v>
      </c>
      <c r="F90" s="19"/>
      <c r="G90" s="8"/>
      <c r="H90" s="25"/>
    </row>
    <row r="91" spans="1:8" x14ac:dyDescent="0.35">
      <c r="A91" s="50">
        <v>43323</v>
      </c>
      <c r="B91" s="8" t="s">
        <v>33</v>
      </c>
      <c r="C91" s="8">
        <v>1</v>
      </c>
      <c r="D91" s="15">
        <v>49000</v>
      </c>
      <c r="E91" s="15">
        <f t="shared" si="1"/>
        <v>49000</v>
      </c>
      <c r="F91" s="19"/>
      <c r="G91" s="8"/>
      <c r="H91" s="25"/>
    </row>
    <row r="92" spans="1:8" x14ac:dyDescent="0.35">
      <c r="A92" s="50">
        <v>43323</v>
      </c>
      <c r="B92" s="8" t="s">
        <v>752</v>
      </c>
      <c r="C92" s="8">
        <v>16</v>
      </c>
      <c r="D92" s="15">
        <v>47000</v>
      </c>
      <c r="E92" s="15">
        <f t="shared" si="1"/>
        <v>752000</v>
      </c>
      <c r="F92" s="19"/>
      <c r="G92" s="8"/>
      <c r="H92" s="25"/>
    </row>
    <row r="93" spans="1:8" x14ac:dyDescent="0.35">
      <c r="A93" s="50">
        <v>43323</v>
      </c>
      <c r="B93" s="8" t="s">
        <v>215</v>
      </c>
      <c r="C93" s="8">
        <v>2</v>
      </c>
      <c r="D93" s="15">
        <v>47000</v>
      </c>
      <c r="E93" s="15">
        <f t="shared" si="1"/>
        <v>94000</v>
      </c>
      <c r="F93" s="19"/>
      <c r="G93" s="8"/>
      <c r="H93" s="25"/>
    </row>
    <row r="94" spans="1:8" x14ac:dyDescent="0.35">
      <c r="A94" s="50">
        <v>43323</v>
      </c>
      <c r="B94" s="8" t="s">
        <v>750</v>
      </c>
      <c r="C94" s="8">
        <v>16</v>
      </c>
      <c r="D94" s="15">
        <v>44000</v>
      </c>
      <c r="E94" s="15">
        <f t="shared" si="1"/>
        <v>704000</v>
      </c>
      <c r="F94" s="19"/>
      <c r="G94" s="8"/>
      <c r="H94" s="25"/>
    </row>
    <row r="95" spans="1:8" x14ac:dyDescent="0.35">
      <c r="A95" s="50">
        <v>43323</v>
      </c>
      <c r="B95" s="8" t="s">
        <v>168</v>
      </c>
      <c r="C95" s="8">
        <v>10</v>
      </c>
      <c r="D95" s="15">
        <v>1600</v>
      </c>
      <c r="E95" s="15">
        <f t="shared" si="1"/>
        <v>16000</v>
      </c>
      <c r="F95" s="19"/>
      <c r="G95" s="8"/>
      <c r="H95" s="25"/>
    </row>
    <row r="96" spans="1:8" x14ac:dyDescent="0.35">
      <c r="A96" s="50">
        <v>43323</v>
      </c>
      <c r="B96" s="8" t="s">
        <v>220</v>
      </c>
      <c r="C96" s="8">
        <v>34</v>
      </c>
      <c r="D96" s="15">
        <v>48000</v>
      </c>
      <c r="E96" s="15">
        <f t="shared" si="1"/>
        <v>1632000</v>
      </c>
      <c r="F96" s="19"/>
      <c r="G96" s="8"/>
      <c r="H96" s="25"/>
    </row>
    <row r="97" spans="1:8" x14ac:dyDescent="0.35">
      <c r="A97" s="50">
        <v>43323</v>
      </c>
      <c r="B97" s="8" t="s">
        <v>336</v>
      </c>
      <c r="C97" s="8">
        <v>25</v>
      </c>
      <c r="D97" s="15">
        <v>1600</v>
      </c>
      <c r="E97" s="15">
        <f t="shared" si="1"/>
        <v>40000</v>
      </c>
      <c r="F97" s="19"/>
      <c r="G97" s="8"/>
      <c r="H97" s="25"/>
    </row>
    <row r="98" spans="1:8" x14ac:dyDescent="0.35">
      <c r="A98" s="50">
        <v>43323</v>
      </c>
      <c r="B98" s="8" t="s">
        <v>12</v>
      </c>
      <c r="C98" s="8">
        <v>3</v>
      </c>
      <c r="D98" s="15">
        <v>53000</v>
      </c>
      <c r="E98" s="15">
        <f t="shared" si="1"/>
        <v>159000</v>
      </c>
      <c r="F98" s="19"/>
      <c r="G98" s="8"/>
      <c r="H98" s="25"/>
    </row>
    <row r="99" spans="1:8" x14ac:dyDescent="0.35">
      <c r="A99" s="50">
        <v>43323</v>
      </c>
      <c r="B99" s="8" t="s">
        <v>124</v>
      </c>
      <c r="C99" s="8">
        <v>4</v>
      </c>
      <c r="D99" s="15">
        <v>48000</v>
      </c>
      <c r="E99" s="15">
        <f t="shared" si="1"/>
        <v>192000</v>
      </c>
      <c r="F99" s="19"/>
      <c r="G99" s="8"/>
      <c r="H99" s="25"/>
    </row>
    <row r="100" spans="1:8" x14ac:dyDescent="0.35">
      <c r="A100" s="50">
        <v>43323</v>
      </c>
      <c r="B100" s="8" t="s">
        <v>11</v>
      </c>
      <c r="C100" s="8">
        <v>25</v>
      </c>
      <c r="D100" s="15">
        <v>1600</v>
      </c>
      <c r="E100" s="15">
        <f t="shared" si="1"/>
        <v>40000</v>
      </c>
      <c r="F100" s="19"/>
      <c r="G100" s="8"/>
      <c r="H100" s="25"/>
    </row>
    <row r="101" spans="1:8" x14ac:dyDescent="0.35">
      <c r="A101" s="50">
        <v>43323</v>
      </c>
      <c r="B101" s="8" t="s">
        <v>102</v>
      </c>
      <c r="C101" s="8">
        <v>2</v>
      </c>
      <c r="D101" s="15">
        <v>15000</v>
      </c>
      <c r="E101" s="15">
        <f t="shared" si="1"/>
        <v>30000</v>
      </c>
      <c r="F101" s="19"/>
      <c r="G101" s="8"/>
      <c r="H101" s="25"/>
    </row>
    <row r="102" spans="1:8" x14ac:dyDescent="0.35">
      <c r="A102" s="50">
        <v>43323</v>
      </c>
      <c r="B102" s="8" t="s">
        <v>755</v>
      </c>
      <c r="C102" s="8">
        <v>9</v>
      </c>
      <c r="D102" s="15">
        <v>2000</v>
      </c>
      <c r="E102" s="15">
        <f t="shared" si="1"/>
        <v>18000</v>
      </c>
      <c r="F102" s="19"/>
      <c r="G102" s="8"/>
      <c r="H102" s="25"/>
    </row>
    <row r="103" spans="1:8" x14ac:dyDescent="0.35">
      <c r="A103" s="50">
        <v>43323</v>
      </c>
      <c r="B103" s="8" t="s">
        <v>572</v>
      </c>
      <c r="C103" s="8">
        <v>16</v>
      </c>
      <c r="D103" s="15">
        <v>2000</v>
      </c>
      <c r="E103" s="15">
        <f t="shared" si="1"/>
        <v>32000</v>
      </c>
      <c r="F103" s="19"/>
      <c r="G103" s="8"/>
      <c r="H103" s="25"/>
    </row>
    <row r="104" spans="1:8" x14ac:dyDescent="0.35">
      <c r="A104" s="50">
        <v>43323</v>
      </c>
      <c r="B104" s="8" t="s">
        <v>220</v>
      </c>
      <c r="C104" s="8">
        <v>5</v>
      </c>
      <c r="D104" s="15">
        <v>48000</v>
      </c>
      <c r="E104" s="15">
        <f t="shared" si="1"/>
        <v>240000</v>
      </c>
      <c r="F104" s="19"/>
      <c r="G104" s="8"/>
      <c r="H104" s="25"/>
    </row>
    <row r="105" spans="1:8" x14ac:dyDescent="0.35">
      <c r="A105" s="50">
        <v>43323</v>
      </c>
      <c r="B105" s="8" t="s">
        <v>215</v>
      </c>
      <c r="C105" s="8">
        <v>11</v>
      </c>
      <c r="D105" s="15">
        <v>47000</v>
      </c>
      <c r="E105" s="15">
        <f t="shared" si="1"/>
        <v>517000</v>
      </c>
      <c r="F105" s="19"/>
      <c r="G105" s="8"/>
      <c r="H105" s="25"/>
    </row>
    <row r="106" spans="1:8" x14ac:dyDescent="0.35">
      <c r="A106" s="50">
        <v>43323</v>
      </c>
      <c r="B106" s="8" t="s">
        <v>756</v>
      </c>
      <c r="C106" s="8">
        <v>3</v>
      </c>
      <c r="D106" s="15">
        <v>48000</v>
      </c>
      <c r="E106" s="15">
        <f t="shared" si="1"/>
        <v>144000</v>
      </c>
      <c r="F106" s="19"/>
      <c r="G106" s="8"/>
      <c r="H106" s="25"/>
    </row>
    <row r="107" spans="1:8" x14ac:dyDescent="0.35">
      <c r="A107" s="50">
        <v>43323</v>
      </c>
      <c r="B107" s="8" t="s">
        <v>107</v>
      </c>
      <c r="C107" s="8">
        <v>40</v>
      </c>
      <c r="D107" s="15">
        <v>1600</v>
      </c>
      <c r="E107" s="15">
        <f t="shared" si="1"/>
        <v>64000</v>
      </c>
      <c r="F107" s="19"/>
      <c r="G107" s="8"/>
      <c r="H107" s="25"/>
    </row>
    <row r="108" spans="1:8" x14ac:dyDescent="0.35">
      <c r="A108" s="50">
        <v>43323</v>
      </c>
      <c r="B108" s="8" t="s">
        <v>321</v>
      </c>
      <c r="C108" s="8">
        <v>2</v>
      </c>
      <c r="D108" s="15">
        <v>52500</v>
      </c>
      <c r="E108" s="15">
        <f t="shared" si="1"/>
        <v>105000</v>
      </c>
      <c r="F108" s="19"/>
      <c r="G108" s="8"/>
      <c r="H108" s="25"/>
    </row>
    <row r="109" spans="1:8" x14ac:dyDescent="0.35">
      <c r="A109" s="50">
        <v>43323</v>
      </c>
      <c r="B109" s="8" t="s">
        <v>390</v>
      </c>
      <c r="C109" s="8">
        <v>13</v>
      </c>
      <c r="D109" s="15">
        <v>56000</v>
      </c>
      <c r="E109" s="15">
        <f t="shared" si="1"/>
        <v>728000</v>
      </c>
      <c r="F109" s="19"/>
      <c r="G109" s="8"/>
      <c r="H109" s="25"/>
    </row>
    <row r="110" spans="1:8" x14ac:dyDescent="0.35">
      <c r="A110" s="50">
        <v>43323</v>
      </c>
      <c r="B110" s="8" t="s">
        <v>753</v>
      </c>
      <c r="C110" s="8">
        <v>1</v>
      </c>
      <c r="D110" s="15">
        <v>15000</v>
      </c>
      <c r="E110" s="15">
        <f t="shared" si="1"/>
        <v>15000</v>
      </c>
      <c r="F110" s="19"/>
      <c r="G110" s="8"/>
      <c r="H110" s="25"/>
    </row>
    <row r="111" spans="1:8" x14ac:dyDescent="0.35">
      <c r="A111" s="50">
        <v>43323</v>
      </c>
      <c r="B111" s="8" t="s">
        <v>754</v>
      </c>
      <c r="C111" s="8">
        <v>1</v>
      </c>
      <c r="D111" s="15">
        <v>26000</v>
      </c>
      <c r="E111" s="15">
        <f t="shared" si="1"/>
        <v>26000</v>
      </c>
      <c r="F111" s="19"/>
      <c r="G111" s="8"/>
      <c r="H111" s="25"/>
    </row>
    <row r="112" spans="1:8" x14ac:dyDescent="0.35">
      <c r="A112" s="50">
        <v>43323</v>
      </c>
      <c r="B112" s="8" t="s">
        <v>501</v>
      </c>
      <c r="C112" s="8">
        <v>1</v>
      </c>
      <c r="D112" s="15">
        <v>59000</v>
      </c>
      <c r="E112" s="15">
        <f t="shared" si="1"/>
        <v>59000</v>
      </c>
      <c r="F112" s="19"/>
      <c r="G112" s="8"/>
      <c r="H112" s="25"/>
    </row>
    <row r="113" spans="1:8" x14ac:dyDescent="0.35">
      <c r="A113" s="50">
        <v>43325</v>
      </c>
      <c r="B113" s="8"/>
      <c r="C113" s="8"/>
      <c r="D113" s="15"/>
      <c r="E113" s="15">
        <f t="shared" si="1"/>
        <v>0</v>
      </c>
      <c r="F113" s="19"/>
      <c r="G113" s="8"/>
      <c r="H113" s="25"/>
    </row>
    <row r="114" spans="1:8" x14ac:dyDescent="0.35">
      <c r="A114" s="50">
        <v>43325</v>
      </c>
      <c r="B114" s="8" t="s">
        <v>116</v>
      </c>
      <c r="C114" s="8">
        <v>1</v>
      </c>
      <c r="D114" s="15">
        <v>54000</v>
      </c>
      <c r="E114" s="15">
        <f t="shared" si="1"/>
        <v>54000</v>
      </c>
      <c r="F114" s="19"/>
      <c r="G114" s="8"/>
      <c r="H114" s="25"/>
    </row>
    <row r="115" spans="1:8" x14ac:dyDescent="0.35">
      <c r="A115" s="50">
        <v>43325</v>
      </c>
      <c r="B115" s="8" t="s">
        <v>335</v>
      </c>
      <c r="C115" s="8">
        <v>1</v>
      </c>
      <c r="D115" s="15">
        <v>22000</v>
      </c>
      <c r="E115" s="15">
        <f t="shared" si="1"/>
        <v>22000</v>
      </c>
      <c r="F115" s="19"/>
      <c r="G115" s="8"/>
      <c r="H115" s="25"/>
    </row>
    <row r="116" spans="1:8" x14ac:dyDescent="0.35">
      <c r="A116" s="50">
        <v>43325</v>
      </c>
      <c r="B116" s="8" t="s">
        <v>424</v>
      </c>
      <c r="C116" s="8">
        <v>1</v>
      </c>
      <c r="D116" s="15">
        <v>47000</v>
      </c>
      <c r="E116" s="15">
        <f t="shared" si="1"/>
        <v>47000</v>
      </c>
      <c r="F116" s="19"/>
      <c r="G116" s="8"/>
      <c r="H116" s="25"/>
    </row>
    <row r="117" spans="1:8" x14ac:dyDescent="0.35">
      <c r="A117" s="50">
        <v>43325</v>
      </c>
      <c r="B117" s="8" t="s">
        <v>762</v>
      </c>
      <c r="C117" s="8">
        <v>15</v>
      </c>
      <c r="D117" s="15">
        <v>4000</v>
      </c>
      <c r="E117" s="15">
        <f t="shared" si="1"/>
        <v>60000</v>
      </c>
      <c r="F117" s="19"/>
      <c r="G117" s="8"/>
      <c r="H117" s="25"/>
    </row>
    <row r="118" spans="1:8" x14ac:dyDescent="0.35">
      <c r="A118" s="50">
        <v>43325</v>
      </c>
      <c r="B118" s="8" t="s">
        <v>763</v>
      </c>
      <c r="C118" s="8">
        <v>21</v>
      </c>
      <c r="D118" s="15">
        <v>57000</v>
      </c>
      <c r="E118" s="15">
        <f t="shared" si="1"/>
        <v>1197000</v>
      </c>
      <c r="F118" s="19"/>
      <c r="G118" s="8"/>
      <c r="H118" s="25"/>
    </row>
    <row r="119" spans="1:8" x14ac:dyDescent="0.35">
      <c r="A119" s="50">
        <v>43325</v>
      </c>
      <c r="B119" s="8" t="s">
        <v>18</v>
      </c>
      <c r="C119" s="8">
        <v>4</v>
      </c>
      <c r="D119" s="15">
        <v>54000</v>
      </c>
      <c r="E119" s="15">
        <f t="shared" si="1"/>
        <v>216000</v>
      </c>
      <c r="F119" s="19"/>
      <c r="G119" s="8"/>
      <c r="H119" s="25"/>
    </row>
    <row r="120" spans="1:8" x14ac:dyDescent="0.35">
      <c r="A120" s="50">
        <v>43325</v>
      </c>
      <c r="B120" s="8" t="s">
        <v>3</v>
      </c>
      <c r="C120" s="8">
        <v>4</v>
      </c>
      <c r="D120" s="15">
        <v>57000</v>
      </c>
      <c r="E120" s="15">
        <f t="shared" si="1"/>
        <v>228000</v>
      </c>
      <c r="F120" s="19"/>
      <c r="G120" s="8"/>
      <c r="H120" s="25"/>
    </row>
    <row r="121" spans="1:8" x14ac:dyDescent="0.35">
      <c r="A121" s="50">
        <v>43325</v>
      </c>
      <c r="B121" s="8" t="s">
        <v>33</v>
      </c>
      <c r="C121" s="8">
        <v>1</v>
      </c>
      <c r="D121" s="15">
        <v>49000</v>
      </c>
      <c r="E121" s="15">
        <f t="shared" si="1"/>
        <v>49000</v>
      </c>
      <c r="F121" s="19"/>
      <c r="G121" s="8"/>
      <c r="H121" s="25"/>
    </row>
    <row r="122" spans="1:8" x14ac:dyDescent="0.35">
      <c r="A122" s="50">
        <v>43325</v>
      </c>
      <c r="B122" s="8" t="s">
        <v>758</v>
      </c>
      <c r="C122" s="8">
        <v>75</v>
      </c>
      <c r="D122" s="15">
        <v>63000</v>
      </c>
      <c r="E122" s="15">
        <f t="shared" si="1"/>
        <v>4725000</v>
      </c>
      <c r="F122" s="19"/>
      <c r="G122" s="8"/>
      <c r="H122" s="25"/>
    </row>
    <row r="123" spans="1:8" x14ac:dyDescent="0.35">
      <c r="A123" s="50">
        <v>43325</v>
      </c>
      <c r="B123" s="8" t="s">
        <v>759</v>
      </c>
      <c r="C123" s="8">
        <v>9</v>
      </c>
      <c r="D123" s="15">
        <v>57500</v>
      </c>
      <c r="E123" s="15">
        <f t="shared" si="1"/>
        <v>517500</v>
      </c>
      <c r="F123" s="19"/>
      <c r="G123" s="8"/>
      <c r="H123" s="25"/>
    </row>
    <row r="124" spans="1:8" x14ac:dyDescent="0.35">
      <c r="A124" s="50">
        <v>43325</v>
      </c>
      <c r="B124" s="8" t="s">
        <v>760</v>
      </c>
      <c r="C124" s="8">
        <v>13</v>
      </c>
      <c r="D124" s="15">
        <v>2000</v>
      </c>
      <c r="E124" s="15">
        <f t="shared" si="1"/>
        <v>26000</v>
      </c>
      <c r="F124" s="19"/>
      <c r="G124" s="8"/>
      <c r="H124" s="25"/>
    </row>
    <row r="125" spans="1:8" x14ac:dyDescent="0.35">
      <c r="A125" s="50">
        <v>43325</v>
      </c>
      <c r="B125" s="8" t="s">
        <v>761</v>
      </c>
      <c r="C125" s="8">
        <v>20</v>
      </c>
      <c r="D125" s="15">
        <v>54000</v>
      </c>
      <c r="E125" s="15">
        <f t="shared" si="1"/>
        <v>1080000</v>
      </c>
      <c r="F125" s="19"/>
      <c r="G125" s="8"/>
      <c r="H125" s="25"/>
    </row>
    <row r="126" spans="1:8" x14ac:dyDescent="0.35">
      <c r="A126" s="50">
        <v>43325</v>
      </c>
      <c r="B126" s="8" t="s">
        <v>748</v>
      </c>
      <c r="C126" s="8">
        <v>24</v>
      </c>
      <c r="D126" s="15">
        <v>132000</v>
      </c>
      <c r="E126" s="15">
        <f t="shared" si="1"/>
        <v>3168000</v>
      </c>
      <c r="F126" s="19"/>
      <c r="G126" s="8"/>
      <c r="H126" s="25"/>
    </row>
    <row r="127" spans="1:8" x14ac:dyDescent="0.35">
      <c r="A127" s="50">
        <v>43325</v>
      </c>
      <c r="B127" s="8" t="s">
        <v>614</v>
      </c>
      <c r="C127" s="8">
        <v>30</v>
      </c>
      <c r="D127" s="15">
        <v>58000</v>
      </c>
      <c r="E127" s="15">
        <f t="shared" si="1"/>
        <v>1740000</v>
      </c>
      <c r="F127" s="19"/>
      <c r="G127" s="8"/>
      <c r="H127" s="25"/>
    </row>
    <row r="128" spans="1:8" x14ac:dyDescent="0.35">
      <c r="A128" s="50">
        <v>43325</v>
      </c>
      <c r="B128" s="8" t="s">
        <v>765</v>
      </c>
      <c r="C128" s="8">
        <v>51</v>
      </c>
      <c r="D128" s="15">
        <v>44000</v>
      </c>
      <c r="E128" s="15">
        <f t="shared" si="1"/>
        <v>2244000</v>
      </c>
      <c r="F128" s="19"/>
      <c r="G128" s="8"/>
      <c r="H128" s="25"/>
    </row>
    <row r="129" spans="1:8" x14ac:dyDescent="0.35">
      <c r="A129" s="50">
        <v>43325</v>
      </c>
      <c r="B129" s="8" t="s">
        <v>764</v>
      </c>
      <c r="C129" s="8">
        <v>13</v>
      </c>
      <c r="D129" s="15">
        <v>60000</v>
      </c>
      <c r="E129" s="15">
        <f t="shared" si="1"/>
        <v>780000</v>
      </c>
      <c r="F129" s="19"/>
      <c r="G129" s="8"/>
      <c r="H129" s="25"/>
    </row>
    <row r="130" spans="1:8" x14ac:dyDescent="0.35">
      <c r="A130" s="50">
        <v>43325</v>
      </c>
      <c r="B130" s="8" t="s">
        <v>758</v>
      </c>
      <c r="C130" s="8">
        <v>177</v>
      </c>
      <c r="D130" s="15">
        <v>63000</v>
      </c>
      <c r="E130" s="15">
        <f t="shared" si="1"/>
        <v>11151000</v>
      </c>
      <c r="F130" s="19"/>
      <c r="G130" s="8"/>
      <c r="H130" s="25"/>
    </row>
    <row r="131" spans="1:8" x14ac:dyDescent="0.35">
      <c r="A131" s="50">
        <v>43325</v>
      </c>
      <c r="B131" s="8" t="s">
        <v>766</v>
      </c>
      <c r="C131" s="8">
        <v>3</v>
      </c>
      <c r="D131" s="15">
        <v>25000</v>
      </c>
      <c r="E131" s="15">
        <f t="shared" si="1"/>
        <v>75000</v>
      </c>
      <c r="F131" s="19"/>
      <c r="G131" s="8"/>
      <c r="H131" s="25"/>
    </row>
    <row r="132" spans="1:8" x14ac:dyDescent="0.35">
      <c r="A132" s="50">
        <v>43325</v>
      </c>
      <c r="B132" s="8" t="s">
        <v>227</v>
      </c>
      <c r="C132" s="8">
        <v>1</v>
      </c>
      <c r="D132" s="15">
        <v>38000</v>
      </c>
      <c r="E132" s="15">
        <f t="shared" ref="E132:E195" si="2">D132*C132</f>
        <v>38000</v>
      </c>
      <c r="F132" s="19"/>
      <c r="G132" s="8"/>
      <c r="H132" s="25"/>
    </row>
    <row r="133" spans="1:8" x14ac:dyDescent="0.35">
      <c r="A133" s="50">
        <v>43325</v>
      </c>
      <c r="B133" s="8" t="s">
        <v>254</v>
      </c>
      <c r="C133" s="8">
        <v>3</v>
      </c>
      <c r="D133" s="15">
        <v>98000</v>
      </c>
      <c r="E133" s="15">
        <f t="shared" si="2"/>
        <v>294000</v>
      </c>
      <c r="F133" s="19"/>
      <c r="G133" s="8"/>
      <c r="H133" s="25"/>
    </row>
    <row r="134" spans="1:8" x14ac:dyDescent="0.35">
      <c r="A134" s="50">
        <v>43325</v>
      </c>
      <c r="B134" s="8" t="s">
        <v>29</v>
      </c>
      <c r="C134" s="8">
        <v>29</v>
      </c>
      <c r="D134" s="15">
        <v>55000</v>
      </c>
      <c r="E134" s="15">
        <f t="shared" si="2"/>
        <v>1595000</v>
      </c>
      <c r="F134" s="19"/>
      <c r="G134" s="8"/>
      <c r="H134" s="25"/>
    </row>
    <row r="135" spans="1:8" x14ac:dyDescent="0.35">
      <c r="A135" s="50">
        <v>43325</v>
      </c>
      <c r="B135" s="8" t="s">
        <v>18</v>
      </c>
      <c r="C135" s="8">
        <v>8</v>
      </c>
      <c r="D135" s="15">
        <v>53000</v>
      </c>
      <c r="E135" s="15">
        <f t="shared" si="2"/>
        <v>424000</v>
      </c>
      <c r="F135" s="19"/>
      <c r="G135" s="8"/>
      <c r="H135" s="25"/>
    </row>
    <row r="136" spans="1:8" x14ac:dyDescent="0.35">
      <c r="A136" s="50">
        <v>43325</v>
      </c>
      <c r="B136" s="8" t="s">
        <v>768</v>
      </c>
      <c r="C136" s="8">
        <v>90</v>
      </c>
      <c r="D136" s="15">
        <v>1600</v>
      </c>
      <c r="E136" s="15">
        <f t="shared" si="2"/>
        <v>144000</v>
      </c>
      <c r="F136" s="19"/>
      <c r="G136" s="8"/>
      <c r="H136" s="25"/>
    </row>
    <row r="137" spans="1:8" x14ac:dyDescent="0.35">
      <c r="A137" s="50">
        <v>43325</v>
      </c>
      <c r="B137" s="8" t="s">
        <v>338</v>
      </c>
      <c r="C137" s="8">
        <v>8</v>
      </c>
      <c r="D137" s="15">
        <v>58000</v>
      </c>
      <c r="E137" s="15">
        <f t="shared" si="2"/>
        <v>464000</v>
      </c>
      <c r="F137" s="19"/>
      <c r="G137" s="8"/>
      <c r="H137" s="25"/>
    </row>
    <row r="138" spans="1:8" x14ac:dyDescent="0.35">
      <c r="A138" s="50">
        <v>43325</v>
      </c>
      <c r="B138" s="8" t="s">
        <v>749</v>
      </c>
      <c r="C138" s="8">
        <v>11</v>
      </c>
      <c r="D138" s="15">
        <v>60000</v>
      </c>
      <c r="E138" s="15">
        <f t="shared" si="2"/>
        <v>660000</v>
      </c>
      <c r="F138" s="19"/>
      <c r="G138" s="8"/>
      <c r="H138" s="25"/>
    </row>
    <row r="139" spans="1:8" x14ac:dyDescent="0.35">
      <c r="A139" s="50">
        <v>43325</v>
      </c>
      <c r="B139" s="8" t="s">
        <v>388</v>
      </c>
      <c r="C139" s="8">
        <v>4</v>
      </c>
      <c r="D139" s="15">
        <v>53000</v>
      </c>
      <c r="E139" s="15">
        <f t="shared" si="2"/>
        <v>212000</v>
      </c>
      <c r="F139" s="19"/>
      <c r="G139" s="8"/>
      <c r="H139" s="25"/>
    </row>
    <row r="140" spans="1:8" x14ac:dyDescent="0.35">
      <c r="A140" s="50">
        <v>43325</v>
      </c>
      <c r="B140" s="8" t="s">
        <v>769</v>
      </c>
      <c r="C140" s="8">
        <v>3</v>
      </c>
      <c r="D140" s="15">
        <v>53000</v>
      </c>
      <c r="E140" s="15">
        <f t="shared" si="2"/>
        <v>159000</v>
      </c>
      <c r="F140" s="19"/>
      <c r="G140" s="8"/>
      <c r="H140" s="25"/>
    </row>
    <row r="141" spans="1:8" x14ac:dyDescent="0.35">
      <c r="A141" s="50">
        <v>43325</v>
      </c>
      <c r="B141" s="8" t="s">
        <v>767</v>
      </c>
      <c r="C141" s="8">
        <v>1</v>
      </c>
      <c r="D141" s="15">
        <v>160000</v>
      </c>
      <c r="E141" s="15">
        <f t="shared" si="2"/>
        <v>160000</v>
      </c>
      <c r="F141" s="19"/>
      <c r="G141" s="8"/>
      <c r="H141" s="25"/>
    </row>
    <row r="142" spans="1:8" x14ac:dyDescent="0.35">
      <c r="A142" s="50">
        <v>43326</v>
      </c>
      <c r="B142" s="8"/>
      <c r="C142" s="8"/>
      <c r="D142" s="15"/>
      <c r="E142" s="15">
        <f t="shared" si="2"/>
        <v>0</v>
      </c>
      <c r="F142" s="19"/>
      <c r="G142" s="8"/>
      <c r="H142" s="25"/>
    </row>
    <row r="143" spans="1:8" x14ac:dyDescent="0.35">
      <c r="A143" s="50">
        <v>43326</v>
      </c>
      <c r="B143" s="8" t="s">
        <v>338</v>
      </c>
      <c r="C143" s="8">
        <v>6</v>
      </c>
      <c r="D143" s="15">
        <v>54000</v>
      </c>
      <c r="E143" s="15">
        <f t="shared" si="2"/>
        <v>324000</v>
      </c>
      <c r="F143" s="19"/>
      <c r="G143" s="8"/>
      <c r="H143" s="25"/>
    </row>
    <row r="144" spans="1:8" x14ac:dyDescent="0.35">
      <c r="A144" s="50">
        <v>43326</v>
      </c>
      <c r="B144" s="8" t="s">
        <v>471</v>
      </c>
      <c r="C144" s="8">
        <v>4</v>
      </c>
      <c r="D144" s="15">
        <v>57000</v>
      </c>
      <c r="E144" s="15">
        <f t="shared" si="2"/>
        <v>228000</v>
      </c>
      <c r="F144" s="19"/>
      <c r="G144" s="8"/>
      <c r="H144" s="25"/>
    </row>
    <row r="145" spans="1:8" x14ac:dyDescent="0.35">
      <c r="A145" s="50">
        <v>43326</v>
      </c>
      <c r="B145" s="8" t="s">
        <v>770</v>
      </c>
      <c r="C145" s="8">
        <v>1</v>
      </c>
      <c r="D145" s="15">
        <v>15000</v>
      </c>
      <c r="E145" s="15">
        <f t="shared" si="2"/>
        <v>15000</v>
      </c>
      <c r="F145" s="19"/>
      <c r="G145" s="8"/>
      <c r="H145" s="25"/>
    </row>
    <row r="146" spans="1:8" x14ac:dyDescent="0.35">
      <c r="A146" s="50">
        <v>43326</v>
      </c>
      <c r="B146" s="8" t="s">
        <v>576</v>
      </c>
      <c r="C146" s="8">
        <v>8</v>
      </c>
      <c r="D146" s="15">
        <v>57500</v>
      </c>
      <c r="E146" s="15">
        <f t="shared" si="2"/>
        <v>460000</v>
      </c>
      <c r="F146" s="19"/>
      <c r="G146" s="8"/>
      <c r="H146" s="25"/>
    </row>
    <row r="147" spans="1:8" x14ac:dyDescent="0.35">
      <c r="A147" s="50">
        <v>43326</v>
      </c>
      <c r="B147" s="8" t="s">
        <v>771</v>
      </c>
      <c r="C147" s="8">
        <v>4</v>
      </c>
      <c r="D147" s="15">
        <v>54000</v>
      </c>
      <c r="E147" s="15">
        <f t="shared" si="2"/>
        <v>216000</v>
      </c>
      <c r="F147" s="19"/>
      <c r="G147" s="8"/>
      <c r="H147" s="25"/>
    </row>
    <row r="148" spans="1:8" x14ac:dyDescent="0.35">
      <c r="A148" s="50">
        <v>43326</v>
      </c>
      <c r="B148" s="8" t="s">
        <v>145</v>
      </c>
      <c r="C148" s="8">
        <v>1</v>
      </c>
      <c r="D148" s="15">
        <v>165000</v>
      </c>
      <c r="E148" s="15">
        <f t="shared" si="2"/>
        <v>165000</v>
      </c>
      <c r="F148" s="19"/>
      <c r="G148" s="8"/>
      <c r="H148" s="25"/>
    </row>
    <row r="149" spans="1:8" x14ac:dyDescent="0.35">
      <c r="A149" s="50">
        <v>43326</v>
      </c>
      <c r="B149" s="8" t="s">
        <v>68</v>
      </c>
      <c r="C149" s="8">
        <v>1</v>
      </c>
      <c r="D149" s="15">
        <v>15000</v>
      </c>
      <c r="E149" s="15">
        <f t="shared" si="2"/>
        <v>15000</v>
      </c>
      <c r="F149" s="19"/>
      <c r="G149" s="8"/>
      <c r="H149" s="25"/>
    </row>
    <row r="150" spans="1:8" x14ac:dyDescent="0.35">
      <c r="A150" s="50">
        <v>43326</v>
      </c>
      <c r="B150" s="8" t="s">
        <v>734</v>
      </c>
      <c r="C150" s="8">
        <v>1</v>
      </c>
      <c r="D150" s="15">
        <v>8000</v>
      </c>
      <c r="E150" s="15">
        <f t="shared" si="2"/>
        <v>8000</v>
      </c>
      <c r="F150" s="19"/>
      <c r="G150" s="8"/>
      <c r="H150" s="25"/>
    </row>
    <row r="151" spans="1:8" x14ac:dyDescent="0.35">
      <c r="A151" s="50">
        <v>43326</v>
      </c>
      <c r="B151" s="8" t="s">
        <v>71</v>
      </c>
      <c r="C151" s="8">
        <v>15</v>
      </c>
      <c r="D151" s="15">
        <v>47000</v>
      </c>
      <c r="E151" s="15">
        <f t="shared" si="2"/>
        <v>705000</v>
      </c>
      <c r="F151" s="19"/>
      <c r="G151" s="8"/>
      <c r="H151" s="25"/>
    </row>
    <row r="152" spans="1:8" x14ac:dyDescent="0.35">
      <c r="A152" s="50">
        <v>43326</v>
      </c>
      <c r="B152" s="8" t="s">
        <v>772</v>
      </c>
      <c r="C152" s="8">
        <v>5</v>
      </c>
      <c r="D152" s="15">
        <v>48000</v>
      </c>
      <c r="E152" s="15">
        <f t="shared" si="2"/>
        <v>240000</v>
      </c>
      <c r="F152" s="19"/>
      <c r="G152" s="8"/>
      <c r="H152" s="25"/>
    </row>
    <row r="153" spans="1:8" x14ac:dyDescent="0.35">
      <c r="A153" s="50">
        <v>43326</v>
      </c>
      <c r="B153" s="8" t="s">
        <v>254</v>
      </c>
      <c r="C153" s="8">
        <v>2</v>
      </c>
      <c r="D153" s="15">
        <v>98000</v>
      </c>
      <c r="E153" s="15">
        <f t="shared" si="2"/>
        <v>196000</v>
      </c>
      <c r="F153" s="19"/>
      <c r="G153" s="8"/>
      <c r="H153" s="25"/>
    </row>
    <row r="154" spans="1:8" x14ac:dyDescent="0.35">
      <c r="A154" s="50">
        <v>43327</v>
      </c>
      <c r="B154" s="8"/>
      <c r="C154" s="8"/>
      <c r="D154" s="15"/>
      <c r="E154" s="15">
        <f t="shared" si="2"/>
        <v>0</v>
      </c>
      <c r="F154" s="19"/>
      <c r="G154" s="8"/>
      <c r="H154" s="25"/>
    </row>
    <row r="155" spans="1:8" x14ac:dyDescent="0.35">
      <c r="A155" s="50">
        <v>43327</v>
      </c>
      <c r="B155" s="8" t="s">
        <v>756</v>
      </c>
      <c r="C155" s="8">
        <v>3</v>
      </c>
      <c r="D155" s="15">
        <v>48000</v>
      </c>
      <c r="E155" s="15">
        <f t="shared" si="2"/>
        <v>144000</v>
      </c>
      <c r="F155" s="19"/>
      <c r="G155" s="8"/>
      <c r="H155" s="25"/>
    </row>
    <row r="156" spans="1:8" x14ac:dyDescent="0.35">
      <c r="A156" s="50">
        <v>43327</v>
      </c>
      <c r="B156" s="8" t="s">
        <v>60</v>
      </c>
      <c r="C156" s="8">
        <v>3</v>
      </c>
      <c r="D156" s="15">
        <v>55000</v>
      </c>
      <c r="E156" s="15">
        <f t="shared" si="2"/>
        <v>165000</v>
      </c>
      <c r="F156" s="19"/>
      <c r="G156" s="8"/>
      <c r="H156" s="25"/>
    </row>
    <row r="157" spans="1:8" x14ac:dyDescent="0.35">
      <c r="A157" s="50">
        <v>43327</v>
      </c>
      <c r="B157" s="8" t="s">
        <v>18</v>
      </c>
      <c r="C157" s="8">
        <v>1</v>
      </c>
      <c r="D157" s="15">
        <v>54000</v>
      </c>
      <c r="E157" s="15">
        <f t="shared" si="2"/>
        <v>54000</v>
      </c>
      <c r="F157" s="19"/>
      <c r="G157" s="8"/>
      <c r="H157" s="25"/>
    </row>
    <row r="158" spans="1:8" x14ac:dyDescent="0.35">
      <c r="A158" s="50">
        <v>43327</v>
      </c>
      <c r="B158" s="8" t="s">
        <v>336</v>
      </c>
      <c r="C158" s="8">
        <v>8</v>
      </c>
      <c r="D158" s="15">
        <v>1500</v>
      </c>
      <c r="E158" s="15">
        <f t="shared" si="2"/>
        <v>12000</v>
      </c>
      <c r="F158" s="19"/>
      <c r="G158" s="8"/>
      <c r="H158" s="25"/>
    </row>
    <row r="159" spans="1:8" x14ac:dyDescent="0.35">
      <c r="A159" s="50">
        <v>43327</v>
      </c>
      <c r="B159" s="8" t="s">
        <v>103</v>
      </c>
      <c r="C159" s="8">
        <v>25</v>
      </c>
      <c r="D159" s="15">
        <v>1600</v>
      </c>
      <c r="E159" s="15">
        <f t="shared" si="2"/>
        <v>40000</v>
      </c>
      <c r="F159" s="19"/>
      <c r="G159" s="8"/>
      <c r="H159" s="25"/>
    </row>
    <row r="160" spans="1:8" x14ac:dyDescent="0.35">
      <c r="A160" s="50">
        <v>43328</v>
      </c>
      <c r="B160" s="8"/>
      <c r="C160" s="8"/>
      <c r="D160" s="15"/>
      <c r="E160" s="15">
        <f t="shared" si="2"/>
        <v>0</v>
      </c>
      <c r="F160" s="19"/>
      <c r="G160" s="8"/>
      <c r="H160" s="25"/>
    </row>
    <row r="161" spans="1:8" x14ac:dyDescent="0.35">
      <c r="A161" s="50">
        <v>43328</v>
      </c>
      <c r="B161" s="8" t="s">
        <v>34</v>
      </c>
      <c r="C161" s="8">
        <v>1</v>
      </c>
      <c r="D161" s="15">
        <v>48000</v>
      </c>
      <c r="E161" s="15">
        <f t="shared" si="2"/>
        <v>48000</v>
      </c>
      <c r="F161" s="19"/>
      <c r="G161" s="8"/>
      <c r="H161" s="25"/>
    </row>
    <row r="162" spans="1:8" x14ac:dyDescent="0.35">
      <c r="A162" s="50">
        <v>43328</v>
      </c>
      <c r="B162" s="8" t="s">
        <v>27</v>
      </c>
      <c r="C162" s="8">
        <v>16</v>
      </c>
      <c r="D162" s="15">
        <v>1600</v>
      </c>
      <c r="E162" s="15">
        <f t="shared" si="2"/>
        <v>25600</v>
      </c>
      <c r="F162" s="19"/>
      <c r="G162" s="8"/>
      <c r="H162" s="25"/>
    </row>
    <row r="163" spans="1:8" x14ac:dyDescent="0.35">
      <c r="A163" s="50">
        <v>43328</v>
      </c>
      <c r="B163" s="8" t="s">
        <v>773</v>
      </c>
      <c r="C163" s="8">
        <v>2</v>
      </c>
      <c r="D163" s="15">
        <v>52000</v>
      </c>
      <c r="E163" s="15">
        <f t="shared" si="2"/>
        <v>104000</v>
      </c>
      <c r="F163" s="19"/>
      <c r="G163" s="8"/>
      <c r="H163" s="25"/>
    </row>
    <row r="164" spans="1:8" x14ac:dyDescent="0.35">
      <c r="A164" s="50">
        <v>43328</v>
      </c>
      <c r="B164" s="8" t="s">
        <v>41</v>
      </c>
      <c r="C164" s="8">
        <v>10</v>
      </c>
      <c r="D164" s="15">
        <v>51000</v>
      </c>
      <c r="E164" s="15">
        <f t="shared" si="2"/>
        <v>510000</v>
      </c>
      <c r="F164" s="19"/>
      <c r="G164" s="8"/>
      <c r="H164" s="25"/>
    </row>
    <row r="165" spans="1:8" x14ac:dyDescent="0.35">
      <c r="A165" s="50">
        <v>43329</v>
      </c>
      <c r="B165" s="8"/>
      <c r="C165" s="8"/>
      <c r="D165" s="15"/>
      <c r="E165" s="15">
        <f t="shared" si="2"/>
        <v>0</v>
      </c>
      <c r="F165" s="19"/>
      <c r="G165" s="8"/>
      <c r="H165" s="25"/>
    </row>
    <row r="166" spans="1:8" x14ac:dyDescent="0.35">
      <c r="A166" s="50">
        <v>43329</v>
      </c>
      <c r="B166" s="8" t="s">
        <v>774</v>
      </c>
      <c r="C166" s="8">
        <v>8</v>
      </c>
      <c r="D166" s="15">
        <v>20000</v>
      </c>
      <c r="E166" s="15">
        <f t="shared" si="2"/>
        <v>160000</v>
      </c>
      <c r="F166" s="19"/>
      <c r="G166" s="8"/>
      <c r="H166" s="25"/>
    </row>
    <row r="167" spans="1:8" x14ac:dyDescent="0.35">
      <c r="A167" s="50">
        <v>43329</v>
      </c>
      <c r="B167" s="8" t="s">
        <v>390</v>
      </c>
      <c r="C167" s="8">
        <v>7</v>
      </c>
      <c r="D167" s="15">
        <v>58000</v>
      </c>
      <c r="E167" s="15">
        <f t="shared" si="2"/>
        <v>406000</v>
      </c>
      <c r="F167" s="19"/>
      <c r="G167" s="8"/>
      <c r="H167" s="25"/>
    </row>
    <row r="168" spans="1:8" x14ac:dyDescent="0.35">
      <c r="A168" s="50">
        <v>43329</v>
      </c>
      <c r="B168" s="8" t="s">
        <v>779</v>
      </c>
      <c r="C168" s="8">
        <v>9</v>
      </c>
      <c r="D168" s="15">
        <v>76000</v>
      </c>
      <c r="E168" s="15">
        <f t="shared" si="2"/>
        <v>684000</v>
      </c>
      <c r="F168" s="19"/>
      <c r="G168" s="8"/>
      <c r="H168" s="25"/>
    </row>
    <row r="169" spans="1:8" x14ac:dyDescent="0.35">
      <c r="A169" s="50">
        <v>43329</v>
      </c>
      <c r="B169" s="8" t="s">
        <v>614</v>
      </c>
      <c r="C169" s="8">
        <v>13</v>
      </c>
      <c r="D169" s="15">
        <v>58000</v>
      </c>
      <c r="E169" s="15">
        <f t="shared" si="2"/>
        <v>754000</v>
      </c>
      <c r="F169" s="19"/>
      <c r="G169" s="8"/>
      <c r="H169" s="25"/>
    </row>
    <row r="170" spans="1:8" x14ac:dyDescent="0.35">
      <c r="A170" s="50">
        <v>43329</v>
      </c>
      <c r="B170" s="8" t="s">
        <v>778</v>
      </c>
      <c r="C170" s="8">
        <v>19</v>
      </c>
      <c r="D170" s="15">
        <v>62000</v>
      </c>
      <c r="E170" s="15">
        <f t="shared" si="2"/>
        <v>1178000</v>
      </c>
      <c r="F170" s="19"/>
      <c r="G170" s="8"/>
      <c r="H170" s="25"/>
    </row>
    <row r="171" spans="1:8" x14ac:dyDescent="0.35">
      <c r="A171" s="50">
        <v>43329</v>
      </c>
      <c r="B171" s="8" t="s">
        <v>641</v>
      </c>
      <c r="C171" s="8">
        <v>7</v>
      </c>
      <c r="D171" s="15">
        <v>1500</v>
      </c>
      <c r="E171" s="15">
        <f t="shared" si="2"/>
        <v>10500</v>
      </c>
      <c r="F171" s="19"/>
      <c r="G171" s="8"/>
      <c r="H171" s="25"/>
    </row>
    <row r="172" spans="1:8" x14ac:dyDescent="0.35">
      <c r="A172" s="50">
        <v>43329</v>
      </c>
      <c r="B172" s="8" t="s">
        <v>688</v>
      </c>
      <c r="C172" s="8">
        <v>38</v>
      </c>
      <c r="D172" s="15">
        <v>2200</v>
      </c>
      <c r="E172" s="15">
        <f t="shared" si="2"/>
        <v>83600</v>
      </c>
      <c r="F172" s="19"/>
      <c r="G172" s="8"/>
      <c r="H172" s="25"/>
    </row>
    <row r="173" spans="1:8" x14ac:dyDescent="0.35">
      <c r="A173" s="50">
        <v>43329</v>
      </c>
      <c r="B173" s="8" t="s">
        <v>178</v>
      </c>
      <c r="C173" s="8">
        <v>15</v>
      </c>
      <c r="D173" s="15">
        <v>48000</v>
      </c>
      <c r="E173" s="15">
        <f t="shared" si="2"/>
        <v>720000</v>
      </c>
      <c r="F173" s="19"/>
      <c r="G173" s="8"/>
      <c r="H173" s="25"/>
    </row>
    <row r="174" spans="1:8" x14ac:dyDescent="0.35">
      <c r="A174" s="50">
        <v>43329</v>
      </c>
      <c r="B174" s="8" t="s">
        <v>777</v>
      </c>
      <c r="C174" s="8">
        <v>10</v>
      </c>
      <c r="D174" s="15">
        <v>56000</v>
      </c>
      <c r="E174" s="15">
        <f t="shared" si="2"/>
        <v>560000</v>
      </c>
      <c r="F174" s="19"/>
      <c r="G174" s="8"/>
      <c r="H174" s="25"/>
    </row>
    <row r="175" spans="1:8" x14ac:dyDescent="0.35">
      <c r="A175" s="50">
        <v>43329</v>
      </c>
      <c r="B175" s="8" t="s">
        <v>776</v>
      </c>
      <c r="C175" s="8">
        <v>1</v>
      </c>
      <c r="D175" s="15">
        <v>60000</v>
      </c>
      <c r="E175" s="15">
        <f t="shared" si="2"/>
        <v>60000</v>
      </c>
      <c r="F175" s="19"/>
      <c r="G175" s="8"/>
      <c r="H175" s="25"/>
    </row>
    <row r="176" spans="1:8" x14ac:dyDescent="0.35">
      <c r="A176" s="50">
        <v>43329</v>
      </c>
      <c r="B176" s="8" t="s">
        <v>775</v>
      </c>
      <c r="C176" s="8">
        <v>8</v>
      </c>
      <c r="D176" s="15">
        <v>57500</v>
      </c>
      <c r="E176" s="15">
        <f t="shared" si="2"/>
        <v>460000</v>
      </c>
      <c r="F176" s="19"/>
      <c r="G176" s="8"/>
      <c r="H176" s="25"/>
    </row>
    <row r="177" spans="1:8" x14ac:dyDescent="0.35">
      <c r="A177" s="50">
        <v>43329</v>
      </c>
      <c r="B177" s="8" t="s">
        <v>483</v>
      </c>
      <c r="C177" s="8">
        <v>10</v>
      </c>
      <c r="D177" s="15">
        <v>54000</v>
      </c>
      <c r="E177" s="15">
        <f t="shared" si="2"/>
        <v>540000</v>
      </c>
      <c r="F177" s="19"/>
      <c r="G177" s="8"/>
      <c r="H177" s="25"/>
    </row>
    <row r="178" spans="1:8" x14ac:dyDescent="0.35">
      <c r="A178" s="50">
        <v>43330</v>
      </c>
      <c r="B178" s="8"/>
      <c r="C178" s="8"/>
      <c r="D178" s="15"/>
      <c r="E178" s="15">
        <f t="shared" si="2"/>
        <v>0</v>
      </c>
      <c r="F178" s="19"/>
      <c r="G178" s="8"/>
      <c r="H178" s="25"/>
    </row>
    <row r="179" spans="1:8" x14ac:dyDescent="0.35">
      <c r="A179" s="50">
        <v>43330</v>
      </c>
      <c r="B179" s="8" t="s">
        <v>780</v>
      </c>
      <c r="C179" s="8">
        <v>1</v>
      </c>
      <c r="D179" s="15">
        <v>1570000</v>
      </c>
      <c r="E179" s="15">
        <f t="shared" si="2"/>
        <v>1570000</v>
      </c>
      <c r="F179" s="19"/>
      <c r="G179" s="8"/>
      <c r="H179" s="25"/>
    </row>
    <row r="180" spans="1:8" x14ac:dyDescent="0.35">
      <c r="A180" s="50">
        <v>43330</v>
      </c>
      <c r="B180" s="8" t="s">
        <v>781</v>
      </c>
      <c r="C180" s="8">
        <v>8</v>
      </c>
      <c r="D180" s="15">
        <v>58000</v>
      </c>
      <c r="E180" s="15">
        <f t="shared" si="2"/>
        <v>464000</v>
      </c>
      <c r="F180" s="19"/>
      <c r="G180" s="8"/>
      <c r="H180" s="25"/>
    </row>
    <row r="181" spans="1:8" x14ac:dyDescent="0.35">
      <c r="A181" s="50">
        <v>43330</v>
      </c>
      <c r="B181" s="8" t="s">
        <v>109</v>
      </c>
      <c r="C181" s="8">
        <v>3</v>
      </c>
      <c r="D181" s="15">
        <v>37500</v>
      </c>
      <c r="E181" s="15">
        <f t="shared" si="2"/>
        <v>112500</v>
      </c>
      <c r="F181" s="19"/>
      <c r="G181" s="8"/>
      <c r="H181" s="25"/>
    </row>
    <row r="182" spans="1:8" x14ac:dyDescent="0.35">
      <c r="A182" s="50">
        <v>43330</v>
      </c>
      <c r="B182" s="8" t="s">
        <v>109</v>
      </c>
      <c r="C182" s="8">
        <v>2</v>
      </c>
      <c r="D182" s="15">
        <v>37500</v>
      </c>
      <c r="E182" s="15">
        <f t="shared" si="2"/>
        <v>75000</v>
      </c>
      <c r="F182" s="19"/>
      <c r="G182" s="8"/>
      <c r="H182" s="25"/>
    </row>
    <row r="183" spans="1:8" x14ac:dyDescent="0.35">
      <c r="A183" s="50">
        <v>43330</v>
      </c>
      <c r="B183" s="8" t="s">
        <v>161</v>
      </c>
      <c r="C183" s="8">
        <v>1</v>
      </c>
      <c r="D183" s="15">
        <v>52000</v>
      </c>
      <c r="E183" s="15">
        <f t="shared" si="2"/>
        <v>52000</v>
      </c>
      <c r="F183" s="19"/>
      <c r="G183" s="8"/>
      <c r="H183" s="25"/>
    </row>
    <row r="184" spans="1:8" x14ac:dyDescent="0.35">
      <c r="A184" s="50">
        <v>43330</v>
      </c>
      <c r="B184" s="8" t="s">
        <v>785</v>
      </c>
      <c r="C184" s="8">
        <v>7</v>
      </c>
      <c r="D184" s="15">
        <v>38000</v>
      </c>
      <c r="E184" s="15">
        <f t="shared" si="2"/>
        <v>266000</v>
      </c>
      <c r="F184" s="19"/>
      <c r="G184" s="8"/>
      <c r="H184" s="25"/>
    </row>
    <row r="185" spans="1:8" x14ac:dyDescent="0.35">
      <c r="A185" s="50">
        <v>43330</v>
      </c>
      <c r="B185" s="8" t="s">
        <v>225</v>
      </c>
      <c r="C185" s="8">
        <v>8</v>
      </c>
      <c r="D185" s="15">
        <v>56000</v>
      </c>
      <c r="E185" s="15">
        <f t="shared" si="2"/>
        <v>448000</v>
      </c>
      <c r="F185" s="19"/>
      <c r="G185" s="8"/>
      <c r="H185" s="25"/>
    </row>
    <row r="186" spans="1:8" x14ac:dyDescent="0.35">
      <c r="A186" s="50">
        <v>43330</v>
      </c>
      <c r="B186" s="8" t="s">
        <v>783</v>
      </c>
      <c r="C186" s="8">
        <v>120</v>
      </c>
      <c r="D186" s="15">
        <v>2200</v>
      </c>
      <c r="E186" s="15">
        <f t="shared" si="2"/>
        <v>264000</v>
      </c>
      <c r="F186" s="19"/>
      <c r="G186" s="8"/>
      <c r="H186" s="25"/>
    </row>
    <row r="187" spans="1:8" x14ac:dyDescent="0.35">
      <c r="A187" s="50">
        <v>43330</v>
      </c>
      <c r="B187" s="8" t="s">
        <v>784</v>
      </c>
      <c r="C187" s="8">
        <v>2</v>
      </c>
      <c r="D187" s="15">
        <v>48000</v>
      </c>
      <c r="E187" s="15">
        <f t="shared" si="2"/>
        <v>96000</v>
      </c>
      <c r="F187" s="19"/>
      <c r="G187" s="8"/>
      <c r="H187" s="25"/>
    </row>
    <row r="188" spans="1:8" x14ac:dyDescent="0.35">
      <c r="A188" s="50">
        <v>43330</v>
      </c>
      <c r="B188" s="8" t="s">
        <v>336</v>
      </c>
      <c r="C188" s="8">
        <v>12</v>
      </c>
      <c r="D188" s="15">
        <v>1500</v>
      </c>
      <c r="E188" s="15">
        <f t="shared" si="2"/>
        <v>18000</v>
      </c>
      <c r="F188" s="19"/>
      <c r="G188" s="8"/>
      <c r="H188" s="25"/>
    </row>
    <row r="189" spans="1:8" x14ac:dyDescent="0.35">
      <c r="A189" s="50">
        <v>43330</v>
      </c>
      <c r="B189" s="8" t="s">
        <v>775</v>
      </c>
      <c r="C189" s="8">
        <v>3</v>
      </c>
      <c r="D189" s="15">
        <v>57500</v>
      </c>
      <c r="E189" s="15">
        <f t="shared" si="2"/>
        <v>172500</v>
      </c>
      <c r="F189" s="19"/>
      <c r="G189" s="8"/>
      <c r="H189" s="25"/>
    </row>
    <row r="190" spans="1:8" x14ac:dyDescent="0.35">
      <c r="A190" s="50">
        <v>43330</v>
      </c>
      <c r="B190" s="8" t="s">
        <v>483</v>
      </c>
      <c r="C190" s="8">
        <v>5</v>
      </c>
      <c r="D190" s="15">
        <v>54000</v>
      </c>
      <c r="E190" s="15">
        <f t="shared" si="2"/>
        <v>270000</v>
      </c>
      <c r="F190" s="19"/>
      <c r="G190" s="8"/>
      <c r="H190" s="25"/>
    </row>
    <row r="191" spans="1:8" x14ac:dyDescent="0.35">
      <c r="A191" s="50">
        <v>43330</v>
      </c>
      <c r="B191" s="8" t="s">
        <v>215</v>
      </c>
      <c r="C191" s="8">
        <v>2</v>
      </c>
      <c r="D191" s="15">
        <v>47000</v>
      </c>
      <c r="E191" s="15">
        <f t="shared" si="2"/>
        <v>94000</v>
      </c>
      <c r="F191" s="19"/>
      <c r="G191" s="8"/>
      <c r="H191" s="25"/>
    </row>
    <row r="192" spans="1:8" x14ac:dyDescent="0.35">
      <c r="A192" s="50">
        <v>43330</v>
      </c>
      <c r="B192" s="8" t="s">
        <v>782</v>
      </c>
      <c r="C192" s="8">
        <v>4</v>
      </c>
      <c r="D192" s="15">
        <v>53000</v>
      </c>
      <c r="E192" s="15">
        <f t="shared" si="2"/>
        <v>212000</v>
      </c>
      <c r="F192" s="19"/>
      <c r="G192" s="8"/>
      <c r="H192" s="25"/>
    </row>
    <row r="193" spans="1:8" x14ac:dyDescent="0.35">
      <c r="A193" s="50">
        <v>43330</v>
      </c>
      <c r="B193" s="8" t="s">
        <v>756</v>
      </c>
      <c r="C193" s="8">
        <v>1</v>
      </c>
      <c r="D193" s="15">
        <v>48000</v>
      </c>
      <c r="E193" s="15">
        <f t="shared" si="2"/>
        <v>48000</v>
      </c>
      <c r="F193" s="19"/>
      <c r="G193" s="8"/>
      <c r="H193" s="25"/>
    </row>
    <row r="194" spans="1:8" x14ac:dyDescent="0.35">
      <c r="A194" s="50">
        <v>43332</v>
      </c>
      <c r="B194" s="8"/>
      <c r="C194" s="8"/>
      <c r="D194" s="15"/>
      <c r="E194" s="15">
        <f t="shared" si="2"/>
        <v>0</v>
      </c>
      <c r="F194" s="19"/>
      <c r="G194" s="8"/>
      <c r="H194" s="25"/>
    </row>
    <row r="195" spans="1:8" x14ac:dyDescent="0.35">
      <c r="A195" s="50">
        <v>43332</v>
      </c>
      <c r="B195" s="8" t="s">
        <v>576</v>
      </c>
      <c r="C195" s="8">
        <v>2</v>
      </c>
      <c r="D195" s="15">
        <v>57000</v>
      </c>
      <c r="E195" s="15">
        <f t="shared" si="2"/>
        <v>114000</v>
      </c>
      <c r="F195" s="19"/>
      <c r="G195" s="8"/>
      <c r="H195" s="25"/>
    </row>
    <row r="196" spans="1:8" x14ac:dyDescent="0.35">
      <c r="A196" s="50">
        <v>43332</v>
      </c>
      <c r="B196" s="8" t="s">
        <v>107</v>
      </c>
      <c r="C196" s="8">
        <v>12</v>
      </c>
      <c r="D196" s="15">
        <v>1600</v>
      </c>
      <c r="E196" s="15">
        <f t="shared" ref="E196:E259" si="3">D196*C196</f>
        <v>19200</v>
      </c>
      <c r="F196" s="19"/>
      <c r="G196" s="8"/>
      <c r="H196" s="25"/>
    </row>
    <row r="197" spans="1:8" x14ac:dyDescent="0.35">
      <c r="A197" s="50">
        <v>43332</v>
      </c>
      <c r="B197" s="8" t="s">
        <v>408</v>
      </c>
      <c r="C197" s="8">
        <v>1</v>
      </c>
      <c r="D197" s="15">
        <v>43500</v>
      </c>
      <c r="E197" s="15">
        <f t="shared" si="3"/>
        <v>43500</v>
      </c>
      <c r="F197" s="19"/>
      <c r="G197" s="8"/>
      <c r="H197" s="25"/>
    </row>
    <row r="198" spans="1:8" x14ac:dyDescent="0.35">
      <c r="A198" s="50">
        <v>43332</v>
      </c>
      <c r="B198" s="8" t="s">
        <v>188</v>
      </c>
      <c r="C198" s="8">
        <v>1</v>
      </c>
      <c r="D198" s="15">
        <v>48000</v>
      </c>
      <c r="E198" s="15">
        <f t="shared" si="3"/>
        <v>48000</v>
      </c>
      <c r="F198" s="19"/>
      <c r="G198" s="8"/>
      <c r="H198" s="25"/>
    </row>
    <row r="199" spans="1:8" x14ac:dyDescent="0.35">
      <c r="A199" s="50">
        <v>43332</v>
      </c>
      <c r="B199" s="8" t="s">
        <v>225</v>
      </c>
      <c r="C199" s="8">
        <v>1</v>
      </c>
      <c r="D199" s="15">
        <v>56000</v>
      </c>
      <c r="E199" s="15">
        <f t="shared" si="3"/>
        <v>56000</v>
      </c>
      <c r="F199" s="19"/>
      <c r="G199" s="8"/>
      <c r="H199" s="25"/>
    </row>
    <row r="200" spans="1:8" x14ac:dyDescent="0.35">
      <c r="A200" s="50">
        <v>43332</v>
      </c>
      <c r="B200" s="8" t="s">
        <v>32</v>
      </c>
      <c r="C200" s="8">
        <v>30</v>
      </c>
      <c r="D200" s="15">
        <v>44000</v>
      </c>
      <c r="E200" s="15">
        <f t="shared" si="3"/>
        <v>1320000</v>
      </c>
      <c r="F200" s="19"/>
      <c r="G200" s="8"/>
      <c r="H200" s="25"/>
    </row>
    <row r="201" spans="1:8" x14ac:dyDescent="0.35">
      <c r="A201" s="50">
        <v>43332</v>
      </c>
      <c r="B201" s="8" t="s">
        <v>292</v>
      </c>
      <c r="C201" s="8">
        <v>8</v>
      </c>
      <c r="D201" s="15">
        <v>54000</v>
      </c>
      <c r="E201" s="15">
        <f t="shared" si="3"/>
        <v>432000</v>
      </c>
      <c r="F201" s="19"/>
      <c r="G201" s="8"/>
      <c r="H201" s="25"/>
    </row>
    <row r="202" spans="1:8" x14ac:dyDescent="0.35">
      <c r="A202" s="50">
        <v>43332</v>
      </c>
      <c r="B202" s="8" t="s">
        <v>8</v>
      </c>
      <c r="C202" s="8">
        <v>8</v>
      </c>
      <c r="D202" s="15">
        <v>57500</v>
      </c>
      <c r="E202" s="15">
        <f t="shared" si="3"/>
        <v>460000</v>
      </c>
      <c r="F202" s="19"/>
      <c r="G202" s="8"/>
      <c r="H202" s="25"/>
    </row>
    <row r="203" spans="1:8" x14ac:dyDescent="0.35">
      <c r="A203" s="50">
        <v>43332</v>
      </c>
      <c r="B203" s="8" t="s">
        <v>34</v>
      </c>
      <c r="C203" s="8">
        <v>9</v>
      </c>
      <c r="D203" s="15">
        <v>48000</v>
      </c>
      <c r="E203" s="15">
        <f t="shared" si="3"/>
        <v>432000</v>
      </c>
      <c r="F203" s="19"/>
      <c r="G203" s="8"/>
      <c r="H203" s="25"/>
    </row>
    <row r="204" spans="1:8" x14ac:dyDescent="0.35">
      <c r="A204" s="50">
        <v>43332</v>
      </c>
      <c r="B204" s="8" t="s">
        <v>169</v>
      </c>
      <c r="C204" s="8">
        <v>7</v>
      </c>
      <c r="D204" s="15">
        <v>60000</v>
      </c>
      <c r="E204" s="15">
        <f t="shared" si="3"/>
        <v>420000</v>
      </c>
      <c r="F204" s="19"/>
      <c r="G204" s="8"/>
      <c r="H204" s="25"/>
    </row>
    <row r="205" spans="1:8" x14ac:dyDescent="0.35">
      <c r="A205" s="50">
        <v>43332</v>
      </c>
      <c r="B205" s="8" t="s">
        <v>786</v>
      </c>
      <c r="C205" s="8">
        <v>42</v>
      </c>
      <c r="D205" s="15">
        <v>9500</v>
      </c>
      <c r="E205" s="15">
        <f t="shared" si="3"/>
        <v>399000</v>
      </c>
      <c r="F205" s="19"/>
      <c r="G205" s="8"/>
      <c r="H205" s="25"/>
    </row>
    <row r="206" spans="1:8" x14ac:dyDescent="0.35">
      <c r="A206" s="50">
        <v>43332</v>
      </c>
      <c r="B206" s="8" t="s">
        <v>370</v>
      </c>
      <c r="C206" s="8">
        <v>2</v>
      </c>
      <c r="D206" s="15">
        <v>35000</v>
      </c>
      <c r="E206" s="15">
        <f t="shared" si="3"/>
        <v>70000</v>
      </c>
      <c r="F206" s="19"/>
      <c r="G206" s="8"/>
      <c r="H206" s="25"/>
    </row>
    <row r="207" spans="1:8" x14ac:dyDescent="0.35">
      <c r="A207" s="50">
        <v>43332</v>
      </c>
      <c r="B207" s="8" t="s">
        <v>787</v>
      </c>
      <c r="C207" s="8">
        <v>2</v>
      </c>
      <c r="D207" s="15">
        <v>12000</v>
      </c>
      <c r="E207" s="15">
        <f t="shared" si="3"/>
        <v>24000</v>
      </c>
      <c r="F207" s="19"/>
      <c r="G207" s="8"/>
      <c r="H207" s="25"/>
    </row>
    <row r="208" spans="1:8" x14ac:dyDescent="0.35">
      <c r="A208" s="50">
        <v>43332</v>
      </c>
      <c r="B208" s="8" t="s">
        <v>404</v>
      </c>
      <c r="C208" s="8">
        <v>10</v>
      </c>
      <c r="D208" s="15">
        <v>48000</v>
      </c>
      <c r="E208" s="15">
        <f t="shared" si="3"/>
        <v>480000</v>
      </c>
      <c r="F208" s="19"/>
      <c r="G208" s="8"/>
      <c r="H208" s="25"/>
    </row>
    <row r="209" spans="1:8" x14ac:dyDescent="0.35">
      <c r="A209" s="50">
        <v>43332</v>
      </c>
      <c r="B209" s="8" t="s">
        <v>34</v>
      </c>
      <c r="C209" s="8">
        <v>53</v>
      </c>
      <c r="D209" s="15">
        <v>43000</v>
      </c>
      <c r="E209" s="15">
        <f t="shared" si="3"/>
        <v>2279000</v>
      </c>
      <c r="F209" s="19"/>
      <c r="G209" s="8"/>
      <c r="H209" s="25"/>
    </row>
    <row r="210" spans="1:8" x14ac:dyDescent="0.35">
      <c r="A210" s="50">
        <v>43333</v>
      </c>
      <c r="B210" s="8"/>
      <c r="C210" s="8"/>
      <c r="D210" s="15"/>
      <c r="E210" s="15">
        <f t="shared" si="3"/>
        <v>0</v>
      </c>
      <c r="F210" s="19"/>
      <c r="G210" s="8"/>
      <c r="H210" s="25"/>
    </row>
    <row r="211" spans="1:8" x14ac:dyDescent="0.35">
      <c r="A211" s="50">
        <v>43333</v>
      </c>
      <c r="B211" s="8" t="s">
        <v>765</v>
      </c>
      <c r="C211" s="8">
        <v>5</v>
      </c>
      <c r="D211" s="15">
        <v>44000</v>
      </c>
      <c r="E211" s="15">
        <f t="shared" si="3"/>
        <v>220000</v>
      </c>
      <c r="F211" s="19"/>
      <c r="G211" s="8"/>
      <c r="H211" s="25"/>
    </row>
    <row r="212" spans="1:8" x14ac:dyDescent="0.35">
      <c r="A212" s="50">
        <v>43333</v>
      </c>
      <c r="B212" s="8" t="s">
        <v>790</v>
      </c>
      <c r="C212" s="8">
        <v>1</v>
      </c>
      <c r="D212" s="15">
        <v>8000</v>
      </c>
      <c r="E212" s="15">
        <f t="shared" si="3"/>
        <v>8000</v>
      </c>
      <c r="F212" s="19"/>
      <c r="G212" s="8"/>
      <c r="H212" s="25"/>
    </row>
    <row r="213" spans="1:8" x14ac:dyDescent="0.35">
      <c r="A213" s="50">
        <v>43333</v>
      </c>
      <c r="B213" s="8" t="s">
        <v>610</v>
      </c>
      <c r="C213" s="8">
        <v>2</v>
      </c>
      <c r="D213" s="15">
        <v>58000</v>
      </c>
      <c r="E213" s="15">
        <f t="shared" si="3"/>
        <v>116000</v>
      </c>
      <c r="F213" s="19"/>
      <c r="G213" s="8"/>
      <c r="H213" s="25"/>
    </row>
    <row r="214" spans="1:8" x14ac:dyDescent="0.35">
      <c r="A214" s="50">
        <v>43333</v>
      </c>
      <c r="B214" s="8" t="s">
        <v>92</v>
      </c>
      <c r="C214" s="8">
        <v>10</v>
      </c>
      <c r="D214" s="15">
        <v>1600</v>
      </c>
      <c r="E214" s="15">
        <f t="shared" si="3"/>
        <v>16000</v>
      </c>
      <c r="F214" s="19"/>
      <c r="G214" s="8"/>
      <c r="H214" s="25"/>
    </row>
    <row r="215" spans="1:8" x14ac:dyDescent="0.35">
      <c r="A215" s="50">
        <v>43333</v>
      </c>
      <c r="B215" s="8" t="s">
        <v>109</v>
      </c>
      <c r="C215" s="8">
        <v>2</v>
      </c>
      <c r="D215" s="15">
        <v>39000</v>
      </c>
      <c r="E215" s="15">
        <f t="shared" si="3"/>
        <v>78000</v>
      </c>
      <c r="F215" s="19"/>
      <c r="G215" s="8"/>
      <c r="H215" s="25"/>
    </row>
    <row r="216" spans="1:8" x14ac:dyDescent="0.35">
      <c r="A216" s="50">
        <v>43333</v>
      </c>
      <c r="B216" s="8" t="s">
        <v>791</v>
      </c>
      <c r="C216" s="8">
        <v>11</v>
      </c>
      <c r="D216" s="15">
        <v>63000</v>
      </c>
      <c r="E216" s="15">
        <f t="shared" si="3"/>
        <v>693000</v>
      </c>
      <c r="F216" s="19"/>
      <c r="G216" s="8"/>
      <c r="H216" s="25"/>
    </row>
    <row r="217" spans="1:8" x14ac:dyDescent="0.35">
      <c r="A217" s="50">
        <v>43333</v>
      </c>
      <c r="B217" s="8" t="s">
        <v>491</v>
      </c>
      <c r="C217" s="8">
        <v>5</v>
      </c>
      <c r="D217" s="15">
        <v>55000</v>
      </c>
      <c r="E217" s="15">
        <f t="shared" si="3"/>
        <v>275000</v>
      </c>
      <c r="F217" s="19"/>
      <c r="G217" s="8"/>
      <c r="H217" s="25"/>
    </row>
    <row r="218" spans="1:8" x14ac:dyDescent="0.35">
      <c r="A218" s="50">
        <v>43333</v>
      </c>
      <c r="B218" s="8" t="s">
        <v>45</v>
      </c>
      <c r="C218" s="8">
        <v>14</v>
      </c>
      <c r="D218" s="15">
        <v>46500</v>
      </c>
      <c r="E218" s="15">
        <f t="shared" si="3"/>
        <v>651000</v>
      </c>
      <c r="F218" s="19"/>
      <c r="G218" s="8"/>
      <c r="H218" s="25"/>
    </row>
    <row r="219" spans="1:8" x14ac:dyDescent="0.35">
      <c r="A219" s="50">
        <v>43333</v>
      </c>
      <c r="B219" s="8" t="s">
        <v>69</v>
      </c>
      <c r="C219" s="8">
        <v>7</v>
      </c>
      <c r="D219" s="15">
        <v>46000</v>
      </c>
      <c r="E219" s="15">
        <f t="shared" si="3"/>
        <v>322000</v>
      </c>
      <c r="F219" s="19"/>
      <c r="G219" s="8"/>
      <c r="H219" s="25"/>
    </row>
    <row r="220" spans="1:8" x14ac:dyDescent="0.35">
      <c r="A220" s="50">
        <v>43333</v>
      </c>
      <c r="B220" s="8" t="s">
        <v>303</v>
      </c>
      <c r="C220" s="8">
        <v>2</v>
      </c>
      <c r="D220" s="15">
        <v>57500</v>
      </c>
      <c r="E220" s="15">
        <f t="shared" si="3"/>
        <v>115000</v>
      </c>
      <c r="F220" s="19"/>
      <c r="G220" s="8"/>
      <c r="H220" s="25"/>
    </row>
    <row r="221" spans="1:8" x14ac:dyDescent="0.35">
      <c r="A221" s="50">
        <v>43333</v>
      </c>
      <c r="B221" s="8" t="s">
        <v>770</v>
      </c>
      <c r="C221" s="8">
        <v>1</v>
      </c>
      <c r="D221" s="15">
        <v>15000</v>
      </c>
      <c r="E221" s="15">
        <f t="shared" si="3"/>
        <v>15000</v>
      </c>
      <c r="F221" s="19"/>
      <c r="G221" s="8"/>
      <c r="H221" s="25"/>
    </row>
    <row r="222" spans="1:8" x14ac:dyDescent="0.35">
      <c r="A222" s="50">
        <v>43333</v>
      </c>
      <c r="B222" s="8" t="s">
        <v>789</v>
      </c>
      <c r="C222" s="8">
        <v>18</v>
      </c>
      <c r="D222" s="15">
        <v>8500</v>
      </c>
      <c r="E222" s="15">
        <f t="shared" si="3"/>
        <v>153000</v>
      </c>
      <c r="F222" s="19"/>
      <c r="G222" s="8"/>
      <c r="H222" s="25"/>
    </row>
    <row r="223" spans="1:8" x14ac:dyDescent="0.35">
      <c r="A223" s="50">
        <v>43333</v>
      </c>
      <c r="B223" s="8" t="s">
        <v>788</v>
      </c>
      <c r="C223" s="8">
        <v>100</v>
      </c>
      <c r="D223" s="15">
        <v>40000</v>
      </c>
      <c r="E223" s="15">
        <f t="shared" si="3"/>
        <v>4000000</v>
      </c>
      <c r="F223" s="19"/>
      <c r="G223" s="8"/>
      <c r="H223" s="25"/>
    </row>
    <row r="224" spans="1:8" x14ac:dyDescent="0.35">
      <c r="A224" s="50">
        <v>43335</v>
      </c>
      <c r="B224" s="8"/>
      <c r="C224" s="8"/>
      <c r="D224" s="15"/>
      <c r="E224" s="15">
        <f t="shared" si="3"/>
        <v>0</v>
      </c>
      <c r="F224" s="19"/>
      <c r="G224" s="8"/>
      <c r="H224" s="25"/>
    </row>
    <row r="225" spans="1:8" x14ac:dyDescent="0.35">
      <c r="A225" s="50">
        <v>43335</v>
      </c>
      <c r="B225" s="8" t="s">
        <v>187</v>
      </c>
      <c r="C225" s="8">
        <v>2</v>
      </c>
      <c r="D225" s="15">
        <v>47000</v>
      </c>
      <c r="E225" s="15">
        <f t="shared" si="3"/>
        <v>94000</v>
      </c>
      <c r="F225" s="19"/>
      <c r="G225" s="8"/>
      <c r="H225" s="25"/>
    </row>
    <row r="226" spans="1:8" x14ac:dyDescent="0.35">
      <c r="A226" s="50">
        <v>43335</v>
      </c>
      <c r="B226" s="8" t="s">
        <v>663</v>
      </c>
      <c r="C226" s="8">
        <v>32</v>
      </c>
      <c r="D226" s="15">
        <v>57500</v>
      </c>
      <c r="E226" s="15">
        <f t="shared" si="3"/>
        <v>1840000</v>
      </c>
      <c r="F226" s="19"/>
      <c r="G226" s="8"/>
      <c r="H226" s="25"/>
    </row>
    <row r="227" spans="1:8" x14ac:dyDescent="0.35">
      <c r="A227" s="50">
        <v>43335</v>
      </c>
      <c r="B227" s="8" t="s">
        <v>589</v>
      </c>
      <c r="C227" s="8">
        <v>53</v>
      </c>
      <c r="D227" s="15">
        <v>8000</v>
      </c>
      <c r="E227" s="15">
        <f t="shared" si="3"/>
        <v>424000</v>
      </c>
      <c r="F227" s="19"/>
      <c r="G227" s="8"/>
      <c r="H227" s="25"/>
    </row>
    <row r="228" spans="1:8" x14ac:dyDescent="0.35">
      <c r="A228" s="50">
        <v>43335</v>
      </c>
      <c r="B228" s="8" t="s">
        <v>792</v>
      </c>
      <c r="C228" s="8">
        <v>53</v>
      </c>
      <c r="D228" s="15">
        <v>8000</v>
      </c>
      <c r="E228" s="15">
        <f t="shared" si="3"/>
        <v>424000</v>
      </c>
      <c r="F228" s="19"/>
      <c r="G228" s="8"/>
      <c r="H228" s="25"/>
    </row>
    <row r="229" spans="1:8" x14ac:dyDescent="0.35">
      <c r="A229" s="50">
        <v>43335</v>
      </c>
      <c r="B229" s="8" t="s">
        <v>214</v>
      </c>
      <c r="C229" s="8">
        <v>1</v>
      </c>
      <c r="D229" s="15">
        <v>47000</v>
      </c>
      <c r="E229" s="15">
        <f t="shared" si="3"/>
        <v>47000</v>
      </c>
      <c r="F229" s="19"/>
      <c r="G229" s="8"/>
      <c r="H229" s="25"/>
    </row>
    <row r="230" spans="1:8" x14ac:dyDescent="0.35">
      <c r="A230" s="50">
        <v>43335</v>
      </c>
      <c r="B230" s="8" t="s">
        <v>12</v>
      </c>
      <c r="C230" s="8">
        <v>25</v>
      </c>
      <c r="D230" s="15">
        <v>55000</v>
      </c>
      <c r="E230" s="15">
        <f t="shared" si="3"/>
        <v>1375000</v>
      </c>
      <c r="F230" s="19"/>
      <c r="G230" s="8"/>
      <c r="H230" s="25"/>
    </row>
    <row r="231" spans="1:8" x14ac:dyDescent="0.35">
      <c r="A231" s="50">
        <v>43335</v>
      </c>
      <c r="B231" s="8" t="s">
        <v>491</v>
      </c>
      <c r="C231" s="8">
        <v>7</v>
      </c>
      <c r="D231" s="15">
        <v>55000</v>
      </c>
      <c r="E231" s="15">
        <f t="shared" si="3"/>
        <v>385000</v>
      </c>
      <c r="F231" s="19"/>
      <c r="G231" s="8"/>
      <c r="H231" s="25"/>
    </row>
    <row r="232" spans="1:8" x14ac:dyDescent="0.35">
      <c r="A232" s="50">
        <v>43335</v>
      </c>
      <c r="B232" s="8" t="s">
        <v>390</v>
      </c>
      <c r="C232" s="8">
        <v>5</v>
      </c>
      <c r="D232" s="15">
        <v>53000</v>
      </c>
      <c r="E232" s="15">
        <f t="shared" si="3"/>
        <v>265000</v>
      </c>
      <c r="F232" s="19"/>
      <c r="G232" s="8"/>
      <c r="H232" s="25"/>
    </row>
    <row r="233" spans="1:8" x14ac:dyDescent="0.35">
      <c r="A233" s="50">
        <v>43335</v>
      </c>
      <c r="B233" s="8" t="s">
        <v>303</v>
      </c>
      <c r="C233" s="8">
        <v>2</v>
      </c>
      <c r="D233" s="15">
        <v>57500</v>
      </c>
      <c r="E233" s="15">
        <f t="shared" si="3"/>
        <v>115000</v>
      </c>
      <c r="F233" s="19"/>
      <c r="G233" s="8"/>
      <c r="H233" s="25"/>
    </row>
    <row r="234" spans="1:8" x14ac:dyDescent="0.35">
      <c r="A234" s="50">
        <v>43336</v>
      </c>
      <c r="B234" s="8"/>
      <c r="C234" s="8"/>
      <c r="D234" s="15"/>
      <c r="E234" s="15">
        <f t="shared" si="3"/>
        <v>0</v>
      </c>
      <c r="F234" s="19"/>
      <c r="G234" s="8"/>
      <c r="H234" s="25"/>
    </row>
    <row r="235" spans="1:8" x14ac:dyDescent="0.35">
      <c r="A235" s="50">
        <v>43336</v>
      </c>
      <c r="B235" s="8" t="s">
        <v>201</v>
      </c>
      <c r="C235" s="8">
        <v>13</v>
      </c>
      <c r="D235" s="15">
        <v>47000</v>
      </c>
      <c r="E235" s="15">
        <f t="shared" si="3"/>
        <v>611000</v>
      </c>
      <c r="F235" s="19"/>
      <c r="G235" s="8"/>
      <c r="H235" s="25"/>
    </row>
    <row r="236" spans="1:8" x14ac:dyDescent="0.35">
      <c r="A236" s="50">
        <v>43336</v>
      </c>
      <c r="B236" s="8" t="s">
        <v>52</v>
      </c>
      <c r="C236" s="8">
        <v>1</v>
      </c>
      <c r="D236" s="15">
        <v>48000</v>
      </c>
      <c r="E236" s="15">
        <f t="shared" si="3"/>
        <v>48000</v>
      </c>
      <c r="F236" s="19"/>
      <c r="G236" s="8"/>
      <c r="H236" s="25"/>
    </row>
    <row r="237" spans="1:8" x14ac:dyDescent="0.35">
      <c r="A237" s="50">
        <v>43336</v>
      </c>
      <c r="B237" s="8" t="s">
        <v>434</v>
      </c>
      <c r="C237" s="8">
        <v>2</v>
      </c>
      <c r="D237" s="15">
        <v>48000</v>
      </c>
      <c r="E237" s="15">
        <f t="shared" si="3"/>
        <v>96000</v>
      </c>
      <c r="F237" s="19"/>
      <c r="G237" s="8"/>
      <c r="H237" s="25"/>
    </row>
    <row r="238" spans="1:8" x14ac:dyDescent="0.35">
      <c r="A238" s="50">
        <v>43336</v>
      </c>
      <c r="B238" s="8" t="s">
        <v>800</v>
      </c>
      <c r="C238" s="8">
        <v>2</v>
      </c>
      <c r="D238" s="15">
        <v>47000</v>
      </c>
      <c r="E238" s="15">
        <f t="shared" si="3"/>
        <v>94000</v>
      </c>
      <c r="F238" s="19"/>
      <c r="G238" s="8"/>
      <c r="H238" s="25"/>
    </row>
    <row r="239" spans="1:8" x14ac:dyDescent="0.35">
      <c r="A239" s="50">
        <v>43336</v>
      </c>
      <c r="B239" s="8" t="s">
        <v>406</v>
      </c>
      <c r="C239" s="8">
        <v>5</v>
      </c>
      <c r="D239" s="15">
        <v>48000</v>
      </c>
      <c r="E239" s="15">
        <f t="shared" si="3"/>
        <v>240000</v>
      </c>
      <c r="F239" s="19"/>
      <c r="G239" s="8"/>
      <c r="H239" s="25"/>
    </row>
    <row r="240" spans="1:8" x14ac:dyDescent="0.35">
      <c r="A240" s="50">
        <v>43336</v>
      </c>
      <c r="B240" s="8" t="s">
        <v>801</v>
      </c>
      <c r="C240" s="8">
        <v>8</v>
      </c>
      <c r="D240" s="15">
        <v>4000</v>
      </c>
      <c r="E240" s="15">
        <f t="shared" si="3"/>
        <v>32000</v>
      </c>
      <c r="F240" s="19"/>
      <c r="G240" s="8"/>
      <c r="H240" s="25"/>
    </row>
    <row r="241" spans="1:8" x14ac:dyDescent="0.35">
      <c r="A241" s="50">
        <v>43336</v>
      </c>
      <c r="B241" s="8" t="s">
        <v>799</v>
      </c>
      <c r="C241" s="8">
        <v>30</v>
      </c>
      <c r="D241" s="15">
        <v>9500</v>
      </c>
      <c r="E241" s="15">
        <f t="shared" si="3"/>
        <v>285000</v>
      </c>
      <c r="F241" s="19"/>
      <c r="G241" s="8"/>
      <c r="H241" s="25"/>
    </row>
    <row r="242" spans="1:8" x14ac:dyDescent="0.35">
      <c r="A242" s="50">
        <v>43336</v>
      </c>
      <c r="B242" s="8" t="s">
        <v>190</v>
      </c>
      <c r="C242" s="8">
        <v>1</v>
      </c>
      <c r="D242" s="15">
        <v>59000</v>
      </c>
      <c r="E242" s="15">
        <f t="shared" si="3"/>
        <v>59000</v>
      </c>
      <c r="F242" s="19"/>
      <c r="G242" s="8"/>
      <c r="H242" s="25"/>
    </row>
    <row r="243" spans="1:8" x14ac:dyDescent="0.35">
      <c r="A243" s="50">
        <v>43336</v>
      </c>
      <c r="B243" s="8" t="s">
        <v>201</v>
      </c>
      <c r="C243" s="8">
        <v>9</v>
      </c>
      <c r="D243" s="15">
        <v>47000</v>
      </c>
      <c r="E243" s="15">
        <f t="shared" si="3"/>
        <v>423000</v>
      </c>
      <c r="F243" s="19"/>
      <c r="G243" s="8"/>
      <c r="H243" s="25"/>
    </row>
    <row r="244" spans="1:8" x14ac:dyDescent="0.35">
      <c r="A244" s="50">
        <v>43336</v>
      </c>
      <c r="B244" s="8" t="s">
        <v>798</v>
      </c>
      <c r="C244" s="8">
        <v>30</v>
      </c>
      <c r="D244" s="15">
        <v>3500</v>
      </c>
      <c r="E244" s="15">
        <f t="shared" si="3"/>
        <v>105000</v>
      </c>
      <c r="F244" s="19"/>
      <c r="G244" s="8"/>
      <c r="H244" s="25"/>
    </row>
    <row r="245" spans="1:8" x14ac:dyDescent="0.35">
      <c r="A245" s="50">
        <v>43336</v>
      </c>
      <c r="B245" s="8" t="s">
        <v>57</v>
      </c>
      <c r="C245" s="8">
        <v>1</v>
      </c>
      <c r="D245" s="15">
        <v>38000</v>
      </c>
      <c r="E245" s="15">
        <f t="shared" si="3"/>
        <v>38000</v>
      </c>
      <c r="F245" s="19"/>
      <c r="G245" s="8"/>
      <c r="H245" s="25"/>
    </row>
    <row r="246" spans="1:8" x14ac:dyDescent="0.35">
      <c r="A246" s="50">
        <v>43336</v>
      </c>
      <c r="B246" s="8" t="s">
        <v>663</v>
      </c>
      <c r="C246" s="8">
        <v>25</v>
      </c>
      <c r="D246" s="15">
        <v>57000</v>
      </c>
      <c r="E246" s="15">
        <f t="shared" si="3"/>
        <v>1425000</v>
      </c>
      <c r="F246" s="19"/>
      <c r="G246" s="8"/>
      <c r="H246" s="25"/>
    </row>
    <row r="247" spans="1:8" x14ac:dyDescent="0.35">
      <c r="A247" s="50">
        <v>43336</v>
      </c>
      <c r="B247" s="8" t="s">
        <v>95</v>
      </c>
      <c r="C247" s="8">
        <v>6</v>
      </c>
      <c r="D247" s="15">
        <v>51000</v>
      </c>
      <c r="E247" s="15">
        <f t="shared" si="3"/>
        <v>306000</v>
      </c>
      <c r="F247" s="19"/>
      <c r="G247" s="8"/>
      <c r="H247" s="25"/>
    </row>
    <row r="248" spans="1:8" x14ac:dyDescent="0.35">
      <c r="A248" s="50">
        <v>43336</v>
      </c>
      <c r="B248" s="8" t="s">
        <v>365</v>
      </c>
      <c r="C248" s="8">
        <v>2</v>
      </c>
      <c r="D248" s="15">
        <v>10000</v>
      </c>
      <c r="E248" s="15">
        <f t="shared" si="3"/>
        <v>20000</v>
      </c>
      <c r="F248" s="19"/>
      <c r="G248" s="8"/>
      <c r="H248" s="25"/>
    </row>
    <row r="249" spans="1:8" x14ac:dyDescent="0.35">
      <c r="A249" s="50">
        <v>43336</v>
      </c>
      <c r="B249" s="8" t="s">
        <v>675</v>
      </c>
      <c r="C249" s="8">
        <v>1</v>
      </c>
      <c r="D249" s="15">
        <v>60000</v>
      </c>
      <c r="E249" s="15">
        <f t="shared" si="3"/>
        <v>60000</v>
      </c>
      <c r="F249" s="19"/>
      <c r="G249" s="8"/>
      <c r="H249" s="25"/>
    </row>
    <row r="250" spans="1:8" x14ac:dyDescent="0.35">
      <c r="A250" s="50">
        <v>43336</v>
      </c>
      <c r="B250" s="8" t="s">
        <v>107</v>
      </c>
      <c r="C250" s="8">
        <v>15</v>
      </c>
      <c r="D250" s="15">
        <v>1600</v>
      </c>
      <c r="E250" s="15">
        <f t="shared" si="3"/>
        <v>24000</v>
      </c>
      <c r="F250" s="19"/>
      <c r="G250" s="8"/>
      <c r="H250" s="25"/>
    </row>
    <row r="251" spans="1:8" x14ac:dyDescent="0.35">
      <c r="A251" s="50">
        <v>43336</v>
      </c>
      <c r="B251" s="8" t="s">
        <v>201</v>
      </c>
      <c r="C251" s="8">
        <v>8</v>
      </c>
      <c r="D251" s="15">
        <v>47000</v>
      </c>
      <c r="E251" s="15">
        <f t="shared" si="3"/>
        <v>376000</v>
      </c>
      <c r="F251" s="19"/>
      <c r="G251" s="8"/>
      <c r="H251" s="25"/>
    </row>
    <row r="252" spans="1:8" x14ac:dyDescent="0.35">
      <c r="A252" s="50">
        <v>43336</v>
      </c>
      <c r="B252" s="8" t="s">
        <v>797</v>
      </c>
      <c r="C252" s="8">
        <v>3</v>
      </c>
      <c r="D252" s="15">
        <v>47500</v>
      </c>
      <c r="E252" s="15">
        <f t="shared" si="3"/>
        <v>142500</v>
      </c>
      <c r="F252" s="19"/>
      <c r="G252" s="8"/>
      <c r="H252" s="25"/>
    </row>
    <row r="253" spans="1:8" x14ac:dyDescent="0.35">
      <c r="A253" s="50">
        <v>43336</v>
      </c>
      <c r="B253" s="8" t="s">
        <v>102</v>
      </c>
      <c r="C253" s="8">
        <v>1</v>
      </c>
      <c r="D253" s="15">
        <v>15000</v>
      </c>
      <c r="E253" s="15">
        <f t="shared" si="3"/>
        <v>15000</v>
      </c>
      <c r="F253" s="19"/>
      <c r="G253" s="8"/>
      <c r="H253" s="25"/>
    </row>
    <row r="254" spans="1:8" x14ac:dyDescent="0.35">
      <c r="A254" s="50">
        <v>43336</v>
      </c>
      <c r="B254" s="8" t="s">
        <v>765</v>
      </c>
      <c r="C254" s="8">
        <v>1</v>
      </c>
      <c r="D254" s="15">
        <v>44000</v>
      </c>
      <c r="E254" s="15">
        <f t="shared" si="3"/>
        <v>44000</v>
      </c>
      <c r="F254" s="19"/>
      <c r="G254" s="8"/>
      <c r="H254" s="25"/>
    </row>
    <row r="255" spans="1:8" x14ac:dyDescent="0.35">
      <c r="A255" s="50">
        <v>43336</v>
      </c>
      <c r="B255" s="8" t="s">
        <v>69</v>
      </c>
      <c r="C255" s="8">
        <v>1</v>
      </c>
      <c r="D255" s="15">
        <v>46000</v>
      </c>
      <c r="E255" s="15">
        <f t="shared" si="3"/>
        <v>46000</v>
      </c>
      <c r="F255" s="19"/>
      <c r="G255" s="8"/>
      <c r="H255" s="25"/>
    </row>
    <row r="256" spans="1:8" x14ac:dyDescent="0.35">
      <c r="A256" s="50">
        <v>43336</v>
      </c>
      <c r="B256" s="8" t="s">
        <v>292</v>
      </c>
      <c r="C256" s="8">
        <v>1</v>
      </c>
      <c r="D256" s="15">
        <v>53000</v>
      </c>
      <c r="E256" s="15">
        <f t="shared" si="3"/>
        <v>53000</v>
      </c>
      <c r="F256" s="19"/>
      <c r="G256" s="8"/>
      <c r="H256" s="25"/>
    </row>
    <row r="257" spans="1:8" x14ac:dyDescent="0.35">
      <c r="A257" s="50">
        <v>43336</v>
      </c>
      <c r="B257" s="8" t="s">
        <v>18</v>
      </c>
      <c r="C257" s="8">
        <v>3</v>
      </c>
      <c r="D257" s="15">
        <v>54000</v>
      </c>
      <c r="E257" s="15">
        <f t="shared" si="3"/>
        <v>162000</v>
      </c>
      <c r="F257" s="19"/>
      <c r="G257" s="8"/>
      <c r="H257" s="25"/>
    </row>
    <row r="258" spans="1:8" x14ac:dyDescent="0.35">
      <c r="A258" s="50">
        <v>43336</v>
      </c>
      <c r="B258" s="8" t="s">
        <v>718</v>
      </c>
      <c r="C258" s="8">
        <v>21</v>
      </c>
      <c r="D258" s="15">
        <v>4000</v>
      </c>
      <c r="E258" s="15">
        <f t="shared" si="3"/>
        <v>84000</v>
      </c>
      <c r="F258" s="19"/>
      <c r="G258" s="8"/>
      <c r="H258" s="25"/>
    </row>
    <row r="259" spans="1:8" x14ac:dyDescent="0.35">
      <c r="A259" s="50">
        <v>43336</v>
      </c>
      <c r="B259" s="8" t="s">
        <v>796</v>
      </c>
      <c r="C259" s="8">
        <v>47</v>
      </c>
      <c r="D259" s="15">
        <v>64400</v>
      </c>
      <c r="E259" s="15">
        <f t="shared" si="3"/>
        <v>3026800</v>
      </c>
      <c r="F259" s="19"/>
      <c r="G259" s="8"/>
      <c r="H259" s="25"/>
    </row>
    <row r="260" spans="1:8" x14ac:dyDescent="0.35">
      <c r="A260" s="50">
        <v>43336</v>
      </c>
      <c r="B260" s="8" t="s">
        <v>32</v>
      </c>
      <c r="C260" s="8">
        <v>17</v>
      </c>
      <c r="D260" s="15">
        <v>44000</v>
      </c>
      <c r="E260" s="15">
        <f t="shared" ref="E260:E308" si="4">D260*C260</f>
        <v>748000</v>
      </c>
      <c r="F260" s="19"/>
      <c r="G260" s="8"/>
      <c r="H260" s="25"/>
    </row>
    <row r="261" spans="1:8" x14ac:dyDescent="0.35">
      <c r="A261" s="50">
        <v>43336</v>
      </c>
      <c r="B261" s="8" t="s">
        <v>773</v>
      </c>
      <c r="C261" s="8">
        <v>9</v>
      </c>
      <c r="D261" s="15">
        <v>52000</v>
      </c>
      <c r="E261" s="15">
        <f t="shared" si="4"/>
        <v>468000</v>
      </c>
      <c r="F261" s="19"/>
      <c r="G261" s="8"/>
      <c r="H261" s="25"/>
    </row>
    <row r="262" spans="1:8" x14ac:dyDescent="0.35">
      <c r="A262" s="50">
        <v>43336</v>
      </c>
      <c r="B262" s="8" t="s">
        <v>388</v>
      </c>
      <c r="C262" s="8">
        <v>3</v>
      </c>
      <c r="D262" s="15">
        <v>54000</v>
      </c>
      <c r="E262" s="15">
        <f t="shared" si="4"/>
        <v>162000</v>
      </c>
      <c r="F262" s="19"/>
      <c r="G262" s="8"/>
      <c r="H262" s="25"/>
    </row>
    <row r="263" spans="1:8" x14ac:dyDescent="0.35">
      <c r="A263" s="50">
        <v>43336</v>
      </c>
      <c r="B263" s="8" t="s">
        <v>41</v>
      </c>
      <c r="C263" s="8">
        <v>16</v>
      </c>
      <c r="D263" s="15">
        <v>55000</v>
      </c>
      <c r="E263" s="15">
        <f t="shared" si="4"/>
        <v>880000</v>
      </c>
      <c r="F263" s="19"/>
      <c r="G263" s="8"/>
      <c r="H263" s="25"/>
    </row>
    <row r="264" spans="1:8" x14ac:dyDescent="0.35">
      <c r="A264" s="50">
        <v>43336</v>
      </c>
      <c r="B264" s="8" t="s">
        <v>795</v>
      </c>
      <c r="C264" s="8">
        <v>1</v>
      </c>
      <c r="D264" s="15">
        <v>98000</v>
      </c>
      <c r="E264" s="15">
        <f t="shared" si="4"/>
        <v>98000</v>
      </c>
      <c r="F264" s="19"/>
      <c r="G264" s="8"/>
      <c r="H264" s="25"/>
    </row>
    <row r="265" spans="1:8" x14ac:dyDescent="0.35">
      <c r="A265" s="50">
        <v>43339</v>
      </c>
      <c r="B265" s="8"/>
      <c r="C265" s="8"/>
      <c r="D265" s="15"/>
      <c r="E265" s="15">
        <f t="shared" si="4"/>
        <v>0</v>
      </c>
      <c r="F265" s="19"/>
      <c r="G265" s="8"/>
      <c r="H265" s="25"/>
    </row>
    <row r="266" spans="1:8" x14ac:dyDescent="0.35">
      <c r="A266" s="50">
        <v>43339</v>
      </c>
      <c r="B266" s="8" t="s">
        <v>802</v>
      </c>
      <c r="C266" s="8">
        <v>30</v>
      </c>
      <c r="D266" s="15">
        <v>64500</v>
      </c>
      <c r="E266" s="15">
        <f t="shared" si="4"/>
        <v>1935000</v>
      </c>
      <c r="F266" s="19"/>
      <c r="G266" s="8"/>
      <c r="H266" s="25"/>
    </row>
    <row r="267" spans="1:8" x14ac:dyDescent="0.35">
      <c r="A267" s="50">
        <v>43339</v>
      </c>
      <c r="B267" s="8" t="s">
        <v>773</v>
      </c>
      <c r="C267" s="8">
        <v>6</v>
      </c>
      <c r="D267" s="15">
        <v>52000</v>
      </c>
      <c r="E267" s="15">
        <f t="shared" si="4"/>
        <v>312000</v>
      </c>
      <c r="F267" s="19"/>
      <c r="G267" s="8"/>
      <c r="H267" s="25"/>
    </row>
    <row r="268" spans="1:8" x14ac:dyDescent="0.35">
      <c r="A268" s="50">
        <v>43339</v>
      </c>
      <c r="B268" s="8" t="s">
        <v>29</v>
      </c>
      <c r="C268" s="8">
        <v>4</v>
      </c>
      <c r="D268" s="15">
        <v>55000</v>
      </c>
      <c r="E268" s="15">
        <f t="shared" si="4"/>
        <v>220000</v>
      </c>
      <c r="F268" s="19"/>
      <c r="G268" s="8"/>
      <c r="H268" s="25"/>
    </row>
    <row r="269" spans="1:8" x14ac:dyDescent="0.35">
      <c r="A269" s="50">
        <v>43339</v>
      </c>
      <c r="B269" s="8" t="s">
        <v>803</v>
      </c>
      <c r="C269" s="8">
        <v>3</v>
      </c>
      <c r="D269" s="15">
        <v>59000</v>
      </c>
      <c r="E269" s="15">
        <f t="shared" si="4"/>
        <v>177000</v>
      </c>
      <c r="F269" s="19"/>
      <c r="G269" s="8"/>
      <c r="H269" s="25"/>
    </row>
    <row r="270" spans="1:8" x14ac:dyDescent="0.35">
      <c r="A270" s="50">
        <v>43339</v>
      </c>
      <c r="B270" s="8" t="s">
        <v>589</v>
      </c>
      <c r="C270" s="8">
        <v>30</v>
      </c>
      <c r="D270" s="15">
        <v>8500</v>
      </c>
      <c r="E270" s="15">
        <f t="shared" si="4"/>
        <v>255000</v>
      </c>
      <c r="F270" s="19"/>
      <c r="G270" s="8"/>
      <c r="H270" s="25"/>
    </row>
    <row r="271" spans="1:8" x14ac:dyDescent="0.35">
      <c r="A271" s="50">
        <v>43339</v>
      </c>
      <c r="B271" s="8" t="s">
        <v>12</v>
      </c>
      <c r="C271" s="8">
        <v>3</v>
      </c>
      <c r="D271" s="15">
        <v>53000</v>
      </c>
      <c r="E271" s="15">
        <f t="shared" si="4"/>
        <v>159000</v>
      </c>
      <c r="F271" s="19"/>
      <c r="G271" s="8"/>
      <c r="H271" s="25"/>
    </row>
    <row r="272" spans="1:8" x14ac:dyDescent="0.35">
      <c r="A272" s="50">
        <v>43339</v>
      </c>
      <c r="B272" s="8" t="s">
        <v>804</v>
      </c>
      <c r="C272" s="8">
        <v>6</v>
      </c>
      <c r="D272" s="15">
        <v>50000</v>
      </c>
      <c r="E272" s="15">
        <f t="shared" si="4"/>
        <v>300000</v>
      </c>
      <c r="F272" s="19"/>
      <c r="G272" s="8"/>
      <c r="H272" s="25"/>
    </row>
    <row r="273" spans="1:8" x14ac:dyDescent="0.35">
      <c r="A273" s="50">
        <v>43339</v>
      </c>
      <c r="B273" s="8" t="s">
        <v>320</v>
      </c>
      <c r="C273" s="8">
        <v>2</v>
      </c>
      <c r="D273" s="15">
        <v>48000</v>
      </c>
      <c r="E273" s="15">
        <f t="shared" si="4"/>
        <v>96000</v>
      </c>
      <c r="F273" s="19"/>
      <c r="G273" s="8"/>
      <c r="H273" s="25"/>
    </row>
    <row r="274" spans="1:8" x14ac:dyDescent="0.35">
      <c r="A274" s="50">
        <v>43340</v>
      </c>
      <c r="B274" s="8"/>
      <c r="C274" s="8"/>
      <c r="D274" s="15"/>
      <c r="E274" s="15">
        <f t="shared" si="4"/>
        <v>0</v>
      </c>
      <c r="F274" s="19"/>
      <c r="G274" s="8"/>
      <c r="H274" s="25"/>
    </row>
    <row r="275" spans="1:8" x14ac:dyDescent="0.35">
      <c r="A275" s="50">
        <v>43340</v>
      </c>
      <c r="B275" s="8" t="s">
        <v>773</v>
      </c>
      <c r="C275" s="8">
        <v>10</v>
      </c>
      <c r="D275" s="15">
        <v>53000</v>
      </c>
      <c r="E275" s="15">
        <f t="shared" si="4"/>
        <v>530000</v>
      </c>
      <c r="F275" s="19"/>
      <c r="G275" s="8"/>
      <c r="H275" s="25"/>
    </row>
    <row r="276" spans="1:8" x14ac:dyDescent="0.35">
      <c r="A276" s="50">
        <v>43340</v>
      </c>
      <c r="B276" s="8" t="s">
        <v>167</v>
      </c>
      <c r="C276" s="8">
        <v>39</v>
      </c>
      <c r="D276" s="15">
        <v>47000</v>
      </c>
      <c r="E276" s="15">
        <f t="shared" si="4"/>
        <v>1833000</v>
      </c>
      <c r="F276" s="19"/>
      <c r="G276" s="8"/>
      <c r="H276" s="25"/>
    </row>
    <row r="277" spans="1:8" x14ac:dyDescent="0.35">
      <c r="A277" s="50">
        <v>43340</v>
      </c>
      <c r="B277" s="8" t="s">
        <v>693</v>
      </c>
      <c r="C277" s="8"/>
      <c r="D277" s="15"/>
      <c r="E277" s="15">
        <f t="shared" si="4"/>
        <v>0</v>
      </c>
      <c r="F277" s="19"/>
      <c r="G277" s="8"/>
      <c r="H277" s="25"/>
    </row>
    <row r="278" spans="1:8" x14ac:dyDescent="0.35">
      <c r="A278" s="50">
        <v>43340</v>
      </c>
      <c r="B278" s="8" t="s">
        <v>38</v>
      </c>
      <c r="C278" s="8">
        <v>1</v>
      </c>
      <c r="D278" s="15">
        <v>50000</v>
      </c>
      <c r="E278" s="15">
        <f t="shared" si="4"/>
        <v>50000</v>
      </c>
      <c r="F278" s="19"/>
      <c r="G278" s="8"/>
      <c r="H278" s="25"/>
    </row>
    <row r="279" spans="1:8" x14ac:dyDescent="0.35">
      <c r="A279" s="50">
        <v>43340</v>
      </c>
      <c r="B279" s="8" t="s">
        <v>805</v>
      </c>
      <c r="C279" s="8">
        <v>9</v>
      </c>
      <c r="D279" s="15">
        <v>57500</v>
      </c>
      <c r="E279" s="15">
        <f t="shared" si="4"/>
        <v>517500</v>
      </c>
      <c r="F279" s="19"/>
      <c r="G279" s="8"/>
      <c r="H279" s="25"/>
    </row>
    <row r="280" spans="1:8" x14ac:dyDescent="0.35">
      <c r="A280" s="50">
        <v>43340</v>
      </c>
      <c r="B280" s="8" t="s">
        <v>404</v>
      </c>
      <c r="C280" s="8">
        <v>3</v>
      </c>
      <c r="D280" s="15">
        <v>48000</v>
      </c>
      <c r="E280" s="15">
        <f t="shared" si="4"/>
        <v>144000</v>
      </c>
      <c r="F280" s="19"/>
      <c r="G280" s="8"/>
      <c r="H280" s="25"/>
    </row>
    <row r="281" spans="1:8" x14ac:dyDescent="0.35">
      <c r="A281" s="50">
        <v>43340</v>
      </c>
      <c r="B281" s="8" t="s">
        <v>154</v>
      </c>
      <c r="C281" s="8">
        <v>1</v>
      </c>
      <c r="D281" s="15">
        <v>46000</v>
      </c>
      <c r="E281" s="15">
        <f t="shared" si="4"/>
        <v>46000</v>
      </c>
      <c r="F281" s="19"/>
      <c r="G281" s="8"/>
      <c r="H281" s="25"/>
    </row>
    <row r="282" spans="1:8" x14ac:dyDescent="0.35">
      <c r="A282" s="50">
        <v>43340</v>
      </c>
      <c r="B282" s="8" t="s">
        <v>38</v>
      </c>
      <c r="C282" s="8">
        <v>1</v>
      </c>
      <c r="D282" s="15">
        <v>49000</v>
      </c>
      <c r="E282" s="15">
        <f t="shared" si="4"/>
        <v>49000</v>
      </c>
      <c r="F282" s="19"/>
      <c r="G282" s="8"/>
      <c r="H282" s="25"/>
    </row>
    <row r="283" spans="1:8" x14ac:dyDescent="0.35">
      <c r="A283" s="50">
        <v>43341</v>
      </c>
      <c r="B283" s="8"/>
      <c r="C283" s="8"/>
      <c r="D283" s="15"/>
      <c r="E283" s="15">
        <f t="shared" si="4"/>
        <v>0</v>
      </c>
      <c r="F283" s="19"/>
      <c r="G283" s="8"/>
      <c r="H283" s="25"/>
    </row>
    <row r="284" spans="1:8" x14ac:dyDescent="0.35">
      <c r="A284" s="50">
        <v>43341</v>
      </c>
      <c r="B284" s="8" t="s">
        <v>406</v>
      </c>
      <c r="C284" s="8">
        <v>3</v>
      </c>
      <c r="D284" s="15">
        <v>49000</v>
      </c>
      <c r="E284" s="15">
        <f t="shared" si="4"/>
        <v>147000</v>
      </c>
      <c r="F284" s="19"/>
      <c r="G284" s="8"/>
      <c r="H284" s="25"/>
    </row>
    <row r="285" spans="1:8" x14ac:dyDescent="0.35">
      <c r="A285" s="50">
        <v>43341</v>
      </c>
      <c r="B285" s="8" t="s">
        <v>806</v>
      </c>
      <c r="C285" s="8">
        <v>1</v>
      </c>
      <c r="D285" s="15">
        <v>13000</v>
      </c>
      <c r="E285" s="15">
        <f t="shared" si="4"/>
        <v>13000</v>
      </c>
      <c r="F285" s="19"/>
      <c r="G285" s="8"/>
      <c r="H285" s="25"/>
    </row>
    <row r="286" spans="1:8" x14ac:dyDescent="0.35">
      <c r="A286" s="50">
        <v>43341</v>
      </c>
      <c r="B286" s="8" t="s">
        <v>807</v>
      </c>
      <c r="C286" s="8">
        <v>2</v>
      </c>
      <c r="D286" s="15">
        <v>47000</v>
      </c>
      <c r="E286" s="15">
        <f t="shared" si="4"/>
        <v>94000</v>
      </c>
      <c r="F286" s="19"/>
      <c r="G286" s="8"/>
      <c r="H286" s="25"/>
    </row>
    <row r="287" spans="1:8" x14ac:dyDescent="0.35">
      <c r="A287" s="50">
        <v>43341</v>
      </c>
      <c r="B287" s="8" t="s">
        <v>178</v>
      </c>
      <c r="C287" s="8">
        <v>8</v>
      </c>
      <c r="D287" s="15">
        <v>45000</v>
      </c>
      <c r="E287" s="15">
        <f t="shared" si="4"/>
        <v>360000</v>
      </c>
      <c r="F287" s="19"/>
      <c r="G287" s="8"/>
      <c r="H287" s="25"/>
    </row>
    <row r="288" spans="1:8" x14ac:dyDescent="0.35">
      <c r="A288" s="50">
        <v>43341</v>
      </c>
      <c r="B288" s="8" t="s">
        <v>276</v>
      </c>
      <c r="C288" s="8">
        <v>4</v>
      </c>
      <c r="D288" s="15">
        <v>54000</v>
      </c>
      <c r="E288" s="15">
        <f t="shared" si="4"/>
        <v>216000</v>
      </c>
      <c r="F288" s="19"/>
      <c r="G288" s="8"/>
      <c r="H288" s="25"/>
    </row>
    <row r="289" spans="1:8" x14ac:dyDescent="0.35">
      <c r="A289" s="50">
        <v>43341</v>
      </c>
      <c r="B289" s="8" t="s">
        <v>808</v>
      </c>
      <c r="C289" s="8">
        <v>10</v>
      </c>
      <c r="D289" s="15">
        <v>52000</v>
      </c>
      <c r="E289" s="15">
        <f t="shared" si="4"/>
        <v>520000</v>
      </c>
      <c r="F289" s="19"/>
      <c r="G289" s="8"/>
      <c r="H289" s="25"/>
    </row>
    <row r="290" spans="1:8" x14ac:dyDescent="0.35">
      <c r="A290" s="50">
        <v>43341</v>
      </c>
      <c r="B290" s="8" t="s">
        <v>382</v>
      </c>
      <c r="C290" s="8">
        <v>8</v>
      </c>
      <c r="D290" s="15">
        <v>57000</v>
      </c>
      <c r="E290" s="15">
        <f t="shared" si="4"/>
        <v>456000</v>
      </c>
      <c r="F290" s="19"/>
      <c r="G290" s="8"/>
      <c r="H290" s="25"/>
    </row>
    <row r="291" spans="1:8" x14ac:dyDescent="0.35">
      <c r="A291" s="50">
        <v>43341</v>
      </c>
      <c r="B291" s="8" t="s">
        <v>809</v>
      </c>
      <c r="C291" s="8">
        <v>1</v>
      </c>
      <c r="D291" s="15">
        <v>26000</v>
      </c>
      <c r="E291" s="15">
        <f t="shared" si="4"/>
        <v>26000</v>
      </c>
      <c r="F291" s="19"/>
      <c r="G291" s="8"/>
      <c r="H291" s="25"/>
    </row>
    <row r="292" spans="1:8" x14ac:dyDescent="0.35">
      <c r="A292" s="50">
        <v>43341</v>
      </c>
      <c r="B292" s="8" t="s">
        <v>95</v>
      </c>
      <c r="C292" s="8">
        <v>3</v>
      </c>
      <c r="D292" s="15">
        <v>52000</v>
      </c>
      <c r="E292" s="15">
        <f t="shared" si="4"/>
        <v>156000</v>
      </c>
      <c r="F292" s="19"/>
      <c r="G292" s="8"/>
      <c r="H292" s="25"/>
    </row>
    <row r="293" spans="1:8" x14ac:dyDescent="0.35">
      <c r="A293" s="50">
        <v>43341</v>
      </c>
      <c r="B293" s="8" t="s">
        <v>19</v>
      </c>
      <c r="C293" s="8">
        <v>4</v>
      </c>
      <c r="D293" s="15">
        <v>52000</v>
      </c>
      <c r="E293" s="15">
        <f t="shared" si="4"/>
        <v>208000</v>
      </c>
      <c r="F293" s="19"/>
      <c r="G293" s="8"/>
      <c r="H293" s="25"/>
    </row>
    <row r="294" spans="1:8" x14ac:dyDescent="0.35">
      <c r="A294" s="50">
        <v>43342</v>
      </c>
      <c r="B294" s="8"/>
      <c r="C294" s="8"/>
      <c r="D294" s="15"/>
      <c r="E294" s="15">
        <f t="shared" si="4"/>
        <v>0</v>
      </c>
      <c r="F294" s="19"/>
      <c r="G294" s="8"/>
      <c r="H294" s="25"/>
    </row>
    <row r="295" spans="1:8" x14ac:dyDescent="0.35">
      <c r="A295" s="50">
        <v>43342</v>
      </c>
      <c r="B295" s="8" t="s">
        <v>589</v>
      </c>
      <c r="C295" s="8">
        <v>4</v>
      </c>
      <c r="D295" s="15">
        <v>8000</v>
      </c>
      <c r="E295" s="15">
        <f t="shared" si="4"/>
        <v>32000</v>
      </c>
      <c r="F295" s="19"/>
      <c r="G295" s="8"/>
      <c r="H295" s="25"/>
    </row>
    <row r="296" spans="1:8" x14ac:dyDescent="0.35">
      <c r="A296" s="50">
        <v>43342</v>
      </c>
      <c r="B296" s="8" t="s">
        <v>32</v>
      </c>
      <c r="C296" s="8">
        <v>8</v>
      </c>
      <c r="D296" s="15">
        <v>44500</v>
      </c>
      <c r="E296" s="15">
        <f t="shared" si="4"/>
        <v>356000</v>
      </c>
      <c r="F296" s="19"/>
      <c r="G296" s="8"/>
      <c r="H296" s="25"/>
    </row>
    <row r="297" spans="1:8" x14ac:dyDescent="0.35">
      <c r="A297" s="50">
        <v>43342</v>
      </c>
      <c r="B297" s="8" t="s">
        <v>22</v>
      </c>
      <c r="C297" s="8">
        <v>1</v>
      </c>
      <c r="D297" s="15">
        <v>47000</v>
      </c>
      <c r="E297" s="15">
        <f t="shared" si="4"/>
        <v>47000</v>
      </c>
      <c r="F297" s="19"/>
      <c r="G297" s="8"/>
      <c r="H297" s="25"/>
    </row>
    <row r="298" spans="1:8" x14ac:dyDescent="0.35">
      <c r="A298" s="50">
        <v>43342</v>
      </c>
      <c r="B298" s="8" t="s">
        <v>258</v>
      </c>
      <c r="C298" s="8">
        <v>1</v>
      </c>
      <c r="D298" s="15">
        <v>10000</v>
      </c>
      <c r="E298" s="15">
        <f t="shared" si="4"/>
        <v>10000</v>
      </c>
      <c r="F298" s="19"/>
      <c r="G298" s="8"/>
      <c r="H298" s="25"/>
    </row>
    <row r="299" spans="1:8" x14ac:dyDescent="0.35">
      <c r="A299" s="50">
        <v>43342</v>
      </c>
      <c r="B299" s="8" t="s">
        <v>743</v>
      </c>
      <c r="C299" s="8">
        <v>11</v>
      </c>
      <c r="D299" s="15">
        <v>52000</v>
      </c>
      <c r="E299" s="15">
        <f t="shared" si="4"/>
        <v>572000</v>
      </c>
      <c r="F299" s="19"/>
      <c r="G299" s="8"/>
      <c r="H299" s="25"/>
    </row>
    <row r="300" spans="1:8" x14ac:dyDescent="0.35">
      <c r="A300" s="50">
        <v>43342</v>
      </c>
      <c r="B300" s="8" t="s">
        <v>810</v>
      </c>
      <c r="C300" s="8">
        <v>4</v>
      </c>
      <c r="D300" s="15">
        <v>55000</v>
      </c>
      <c r="E300" s="15">
        <f t="shared" si="4"/>
        <v>220000</v>
      </c>
      <c r="F300" s="19"/>
      <c r="G300" s="8"/>
      <c r="H300" s="25"/>
    </row>
    <row r="301" spans="1:8" x14ac:dyDescent="0.35">
      <c r="A301" s="50">
        <v>43342</v>
      </c>
      <c r="B301" s="8" t="s">
        <v>811</v>
      </c>
      <c r="C301" s="8">
        <v>1</v>
      </c>
      <c r="D301" s="15">
        <v>15000</v>
      </c>
      <c r="E301" s="15">
        <f t="shared" si="4"/>
        <v>15000</v>
      </c>
      <c r="F301" s="19"/>
      <c r="G301" s="8"/>
      <c r="H301" s="25"/>
    </row>
    <row r="302" spans="1:8" x14ac:dyDescent="0.35">
      <c r="A302" s="50">
        <v>43342</v>
      </c>
      <c r="B302" s="8" t="s">
        <v>183</v>
      </c>
      <c r="C302" s="8">
        <v>5</v>
      </c>
      <c r="D302" s="15">
        <v>28000</v>
      </c>
      <c r="E302" s="15">
        <f t="shared" si="4"/>
        <v>140000</v>
      </c>
      <c r="F302" s="19"/>
      <c r="G302" s="8"/>
      <c r="H302" s="25"/>
    </row>
    <row r="303" spans="1:8" x14ac:dyDescent="0.35">
      <c r="A303" s="50">
        <v>43343</v>
      </c>
      <c r="B303" s="8"/>
      <c r="C303" s="8"/>
      <c r="D303" s="15"/>
      <c r="E303" s="15">
        <f t="shared" si="4"/>
        <v>0</v>
      </c>
      <c r="F303" s="19"/>
      <c r="G303" s="8"/>
      <c r="H303" s="25"/>
    </row>
    <row r="304" spans="1:8" x14ac:dyDescent="0.35">
      <c r="A304" s="50">
        <v>43343</v>
      </c>
      <c r="B304" s="8" t="s">
        <v>614</v>
      </c>
      <c r="C304" s="8">
        <v>2</v>
      </c>
      <c r="D304" s="15">
        <v>58000</v>
      </c>
      <c r="E304" s="15">
        <f t="shared" si="4"/>
        <v>116000</v>
      </c>
      <c r="F304" s="19"/>
      <c r="G304" s="8"/>
      <c r="H304" s="25"/>
    </row>
    <row r="305" spans="1:8" x14ac:dyDescent="0.35">
      <c r="A305" s="50">
        <v>43343</v>
      </c>
      <c r="B305" s="8" t="s">
        <v>812</v>
      </c>
      <c r="C305" s="8">
        <v>1</v>
      </c>
      <c r="D305" s="15">
        <v>15000</v>
      </c>
      <c r="E305" s="15">
        <f t="shared" si="4"/>
        <v>15000</v>
      </c>
      <c r="F305" s="19"/>
      <c r="G305" s="8"/>
      <c r="H305" s="25"/>
    </row>
    <row r="306" spans="1:8" x14ac:dyDescent="0.35">
      <c r="A306" s="50">
        <v>43343</v>
      </c>
      <c r="B306" s="8" t="s">
        <v>38</v>
      </c>
      <c r="C306" s="8">
        <v>8</v>
      </c>
      <c r="D306" s="15">
        <v>50000</v>
      </c>
      <c r="E306" s="15">
        <f t="shared" si="4"/>
        <v>400000</v>
      </c>
      <c r="F306" s="19"/>
      <c r="G306" s="8"/>
      <c r="H306" s="25"/>
    </row>
    <row r="307" spans="1:8" x14ac:dyDescent="0.35">
      <c r="A307" s="50">
        <v>43343</v>
      </c>
      <c r="B307" s="8" t="s">
        <v>382</v>
      </c>
      <c r="C307" s="8">
        <v>10</v>
      </c>
      <c r="D307" s="15">
        <v>56000</v>
      </c>
      <c r="E307" s="15">
        <f t="shared" si="4"/>
        <v>560000</v>
      </c>
      <c r="F307" s="19"/>
      <c r="G307" s="8"/>
      <c r="H307" s="25"/>
    </row>
    <row r="308" spans="1:8" x14ac:dyDescent="0.35">
      <c r="A308" s="50">
        <v>43343</v>
      </c>
      <c r="B308" s="11" t="s">
        <v>8</v>
      </c>
      <c r="C308" s="11">
        <v>3</v>
      </c>
      <c r="D308" s="16">
        <v>56000</v>
      </c>
      <c r="E308" s="16">
        <f t="shared" si="4"/>
        <v>168000</v>
      </c>
      <c r="F308" s="20"/>
      <c r="G308" s="11"/>
      <c r="H308" s="26"/>
    </row>
    <row r="705" spans="9:9" x14ac:dyDescent="0.35">
      <c r="I705">
        <v>45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3"/>
  <sheetViews>
    <sheetView workbookViewId="0">
      <selection activeCell="A80" sqref="A80"/>
    </sheetView>
  </sheetViews>
  <sheetFormatPr defaultRowHeight="15.5" x14ac:dyDescent="0.35"/>
  <cols>
    <col min="1" max="1" width="12.25" style="13" customWidth="1"/>
    <col min="2" max="2" width="35.75" style="5" customWidth="1"/>
    <col min="3" max="3" width="12.1640625" style="5" customWidth="1"/>
    <col min="4" max="4" width="12.5" style="17" customWidth="1"/>
    <col min="5" max="5" width="13.1640625" style="17" customWidth="1"/>
    <col min="6" max="6" width="13.9140625" style="13" customWidth="1"/>
    <col min="7" max="7" width="11.25" style="5" customWidth="1"/>
    <col min="8" max="8" width="13.1640625" style="17" bestFit="1" customWidth="1"/>
    <col min="9" max="9" width="8.6640625" style="5"/>
  </cols>
  <sheetData>
    <row r="1" spans="1:8" x14ac:dyDescent="0.35">
      <c r="A1" s="12" t="s">
        <v>834</v>
      </c>
      <c r="B1" s="7" t="s">
        <v>835</v>
      </c>
      <c r="C1" s="7" t="s">
        <v>836</v>
      </c>
      <c r="D1" s="14" t="s">
        <v>837</v>
      </c>
      <c r="E1" s="14" t="s">
        <v>838</v>
      </c>
      <c r="F1" s="18" t="s">
        <v>839</v>
      </c>
      <c r="G1" s="7" t="s">
        <v>840</v>
      </c>
      <c r="H1" s="21" t="s">
        <v>833</v>
      </c>
    </row>
    <row r="2" spans="1:8" x14ac:dyDescent="0.35">
      <c r="A2" s="50">
        <v>43344</v>
      </c>
      <c r="B2" s="8"/>
      <c r="C2" s="8"/>
      <c r="D2" s="15"/>
      <c r="E2" s="15"/>
      <c r="F2" s="39">
        <v>43344</v>
      </c>
      <c r="G2" s="8" t="s">
        <v>77</v>
      </c>
      <c r="H2" s="22">
        <v>390000</v>
      </c>
    </row>
    <row r="3" spans="1:8" x14ac:dyDescent="0.35">
      <c r="A3" s="50">
        <v>43344</v>
      </c>
      <c r="B3" s="8" t="s">
        <v>789</v>
      </c>
      <c r="C3" s="8">
        <v>1</v>
      </c>
      <c r="D3" s="15">
        <v>8000</v>
      </c>
      <c r="E3" s="15">
        <f>D3*C3</f>
        <v>8000</v>
      </c>
      <c r="F3" s="48"/>
      <c r="G3" s="8"/>
      <c r="H3" s="22"/>
    </row>
    <row r="4" spans="1:8" x14ac:dyDescent="0.35">
      <c r="A4" s="50">
        <v>43344</v>
      </c>
      <c r="B4" s="8" t="s">
        <v>19</v>
      </c>
      <c r="C4" s="8">
        <v>1</v>
      </c>
      <c r="D4" s="15">
        <v>52000</v>
      </c>
      <c r="E4" s="15">
        <f t="shared" ref="E4:E67" si="0">D4*C4</f>
        <v>52000</v>
      </c>
      <c r="F4" s="39">
        <v>43347</v>
      </c>
      <c r="G4" s="8" t="s">
        <v>236</v>
      </c>
      <c r="H4" s="22">
        <v>150000</v>
      </c>
    </row>
    <row r="5" spans="1:8" x14ac:dyDescent="0.35">
      <c r="A5" s="50">
        <v>43344</v>
      </c>
      <c r="B5" s="8" t="s">
        <v>107</v>
      </c>
      <c r="C5" s="8">
        <v>15</v>
      </c>
      <c r="D5" s="15">
        <v>1600</v>
      </c>
      <c r="E5" s="15">
        <f t="shared" si="0"/>
        <v>24000</v>
      </c>
      <c r="F5" s="48"/>
      <c r="G5" s="8"/>
      <c r="H5" s="22"/>
    </row>
    <row r="6" spans="1:8" x14ac:dyDescent="0.35">
      <c r="A6" s="50">
        <v>43344</v>
      </c>
      <c r="B6" s="8" t="s">
        <v>814</v>
      </c>
      <c r="C6" s="8">
        <v>8</v>
      </c>
      <c r="D6" s="15">
        <v>4000</v>
      </c>
      <c r="E6" s="15">
        <f t="shared" si="0"/>
        <v>32000</v>
      </c>
      <c r="F6" s="39">
        <v>43349</v>
      </c>
      <c r="G6" s="8" t="s">
        <v>843</v>
      </c>
      <c r="H6" s="22">
        <v>25000</v>
      </c>
    </row>
    <row r="7" spans="1:8" x14ac:dyDescent="0.35">
      <c r="A7" s="50">
        <v>43344</v>
      </c>
      <c r="B7" s="8" t="s">
        <v>773</v>
      </c>
      <c r="C7" s="8">
        <v>17</v>
      </c>
      <c r="D7" s="15">
        <v>53000</v>
      </c>
      <c r="E7" s="15">
        <f t="shared" si="0"/>
        <v>901000</v>
      </c>
      <c r="F7" s="48"/>
      <c r="G7" s="8"/>
      <c r="H7" s="22"/>
    </row>
    <row r="8" spans="1:8" x14ac:dyDescent="0.35">
      <c r="A8" s="50">
        <v>43344</v>
      </c>
      <c r="B8" s="8" t="s">
        <v>34</v>
      </c>
      <c r="C8" s="8">
        <v>5</v>
      </c>
      <c r="D8" s="15">
        <v>50000</v>
      </c>
      <c r="E8" s="15">
        <f t="shared" si="0"/>
        <v>250000</v>
      </c>
      <c r="F8" s="39">
        <v>43351</v>
      </c>
      <c r="G8" s="8" t="s">
        <v>236</v>
      </c>
      <c r="H8" s="22">
        <v>150000</v>
      </c>
    </row>
    <row r="9" spans="1:8" x14ac:dyDescent="0.35">
      <c r="A9" s="50">
        <v>43344</v>
      </c>
      <c r="B9" s="8" t="s">
        <v>813</v>
      </c>
      <c r="C9" s="8">
        <v>5</v>
      </c>
      <c r="D9" s="15">
        <v>48000</v>
      </c>
      <c r="E9" s="15">
        <f t="shared" si="0"/>
        <v>240000</v>
      </c>
      <c r="F9" s="39">
        <v>43351</v>
      </c>
      <c r="G9" s="8" t="s">
        <v>77</v>
      </c>
      <c r="H9" s="22">
        <v>330000</v>
      </c>
    </row>
    <row r="10" spans="1:8" x14ac:dyDescent="0.35">
      <c r="A10" s="50">
        <v>43344</v>
      </c>
      <c r="B10" s="8" t="s">
        <v>519</v>
      </c>
      <c r="C10" s="8">
        <v>11</v>
      </c>
      <c r="D10" s="15">
        <v>47000</v>
      </c>
      <c r="E10" s="15">
        <f t="shared" si="0"/>
        <v>517000</v>
      </c>
      <c r="F10" s="48"/>
      <c r="G10" s="8"/>
      <c r="H10" s="22"/>
    </row>
    <row r="11" spans="1:8" x14ac:dyDescent="0.35">
      <c r="A11" s="50">
        <v>43346</v>
      </c>
      <c r="B11" s="8"/>
      <c r="C11" s="8"/>
      <c r="D11" s="15"/>
      <c r="E11" s="15">
        <f t="shared" si="0"/>
        <v>0</v>
      </c>
      <c r="F11" s="19"/>
      <c r="G11" s="8"/>
      <c r="H11" s="22"/>
    </row>
    <row r="12" spans="1:8" x14ac:dyDescent="0.35">
      <c r="A12" s="50">
        <v>43346</v>
      </c>
      <c r="B12" s="8" t="s">
        <v>190</v>
      </c>
      <c r="C12" s="9">
        <v>1</v>
      </c>
      <c r="D12" s="15">
        <v>59000</v>
      </c>
      <c r="E12" s="15">
        <f t="shared" si="0"/>
        <v>59000</v>
      </c>
      <c r="F12" s="19"/>
      <c r="G12" s="8"/>
      <c r="H12" s="22"/>
    </row>
    <row r="13" spans="1:8" x14ac:dyDescent="0.35">
      <c r="A13" s="50">
        <v>43346</v>
      </c>
      <c r="B13" s="8" t="s">
        <v>816</v>
      </c>
      <c r="C13" s="9">
        <v>5</v>
      </c>
      <c r="D13" s="15">
        <v>48000</v>
      </c>
      <c r="E13" s="15">
        <f t="shared" si="0"/>
        <v>240000</v>
      </c>
      <c r="F13" s="19"/>
      <c r="G13" s="8"/>
      <c r="H13" s="22"/>
    </row>
    <row r="14" spans="1:8" x14ac:dyDescent="0.35">
      <c r="A14" s="50">
        <v>43346</v>
      </c>
      <c r="B14" s="8" t="s">
        <v>4</v>
      </c>
      <c r="C14" s="9">
        <v>3</v>
      </c>
      <c r="D14" s="15">
        <v>40000</v>
      </c>
      <c r="E14" s="15">
        <f t="shared" si="0"/>
        <v>120000</v>
      </c>
      <c r="F14" s="19"/>
      <c r="G14" s="8"/>
      <c r="H14" s="22"/>
    </row>
    <row r="15" spans="1:8" x14ac:dyDescent="0.35">
      <c r="A15" s="50">
        <v>43346</v>
      </c>
      <c r="B15" s="8" t="s">
        <v>32</v>
      </c>
      <c r="C15" s="9">
        <v>2</v>
      </c>
      <c r="D15" s="15">
        <v>44500</v>
      </c>
      <c r="E15" s="15">
        <f t="shared" si="0"/>
        <v>89000</v>
      </c>
      <c r="F15" s="19"/>
      <c r="G15" s="8"/>
      <c r="H15" s="22"/>
    </row>
    <row r="16" spans="1:8" x14ac:dyDescent="0.35">
      <c r="A16" s="50">
        <v>43346</v>
      </c>
      <c r="B16" s="8" t="s">
        <v>821</v>
      </c>
      <c r="C16" s="9">
        <v>25</v>
      </c>
      <c r="D16" s="15">
        <v>2500</v>
      </c>
      <c r="E16" s="15">
        <f t="shared" si="0"/>
        <v>62500</v>
      </c>
      <c r="F16" s="19"/>
      <c r="G16" s="8"/>
      <c r="H16" s="22"/>
    </row>
    <row r="17" spans="1:8" x14ac:dyDescent="0.35">
      <c r="A17" s="50">
        <v>43346</v>
      </c>
      <c r="B17" s="8" t="s">
        <v>817</v>
      </c>
      <c r="C17" s="9">
        <v>15</v>
      </c>
      <c r="D17" s="15">
        <v>57000</v>
      </c>
      <c r="E17" s="15">
        <f t="shared" si="0"/>
        <v>855000</v>
      </c>
      <c r="F17" s="19"/>
      <c r="G17" s="8"/>
      <c r="H17" s="22"/>
    </row>
    <row r="18" spans="1:8" x14ac:dyDescent="0.35">
      <c r="A18" s="50">
        <v>43346</v>
      </c>
      <c r="B18" s="8" t="s">
        <v>675</v>
      </c>
      <c r="C18" s="9">
        <v>5</v>
      </c>
      <c r="D18" s="15">
        <v>61000</v>
      </c>
      <c r="E18" s="15">
        <f t="shared" si="0"/>
        <v>305000</v>
      </c>
      <c r="F18" s="19"/>
      <c r="G18" s="8"/>
      <c r="H18" s="22"/>
    </row>
    <row r="19" spans="1:8" x14ac:dyDescent="0.35">
      <c r="A19" s="50">
        <v>43346</v>
      </c>
      <c r="B19" s="8" t="s">
        <v>756</v>
      </c>
      <c r="C19" s="9">
        <v>2</v>
      </c>
      <c r="D19" s="15">
        <v>48000</v>
      </c>
      <c r="E19" s="15">
        <f t="shared" si="0"/>
        <v>96000</v>
      </c>
      <c r="F19" s="19"/>
      <c r="G19" s="8"/>
      <c r="H19" s="22"/>
    </row>
    <row r="20" spans="1:8" x14ac:dyDescent="0.35">
      <c r="A20" s="50">
        <v>43346</v>
      </c>
      <c r="B20" s="8" t="s">
        <v>630</v>
      </c>
      <c r="C20" s="9">
        <v>12</v>
      </c>
      <c r="D20" s="15">
        <v>46500</v>
      </c>
      <c r="E20" s="15">
        <f t="shared" si="0"/>
        <v>558000</v>
      </c>
      <c r="F20" s="19"/>
      <c r="G20" s="8"/>
      <c r="H20" s="22"/>
    </row>
    <row r="21" spans="1:8" x14ac:dyDescent="0.35">
      <c r="A21" s="50">
        <v>43346</v>
      </c>
      <c r="B21" s="8" t="s">
        <v>311</v>
      </c>
      <c r="C21" s="9">
        <v>30</v>
      </c>
      <c r="D21" s="15">
        <v>2500</v>
      </c>
      <c r="E21" s="15">
        <f t="shared" si="0"/>
        <v>75000</v>
      </c>
      <c r="F21" s="19"/>
      <c r="G21" s="8"/>
      <c r="H21" s="22"/>
    </row>
    <row r="22" spans="1:8" x14ac:dyDescent="0.35">
      <c r="A22" s="50">
        <v>43346</v>
      </c>
      <c r="B22" s="8" t="s">
        <v>815</v>
      </c>
      <c r="C22" s="9">
        <v>2</v>
      </c>
      <c r="D22" s="15">
        <v>48000</v>
      </c>
      <c r="E22" s="15">
        <f t="shared" si="0"/>
        <v>96000</v>
      </c>
      <c r="F22" s="19"/>
      <c r="G22" s="8"/>
      <c r="H22" s="22"/>
    </row>
    <row r="23" spans="1:8" x14ac:dyDescent="0.35">
      <c r="A23" s="50">
        <v>43347</v>
      </c>
      <c r="B23" s="8"/>
      <c r="C23" s="8"/>
      <c r="D23" s="15"/>
      <c r="E23" s="15">
        <f t="shared" si="0"/>
        <v>0</v>
      </c>
      <c r="F23" s="19"/>
      <c r="G23" s="8"/>
      <c r="H23" s="22"/>
    </row>
    <row r="24" spans="1:8" x14ac:dyDescent="0.35">
      <c r="A24" s="50">
        <v>43347</v>
      </c>
      <c r="B24" s="8" t="s">
        <v>34</v>
      </c>
      <c r="C24" s="9">
        <v>1</v>
      </c>
      <c r="D24" s="15">
        <v>49000</v>
      </c>
      <c r="E24" s="15">
        <f t="shared" si="0"/>
        <v>49000</v>
      </c>
      <c r="F24" s="19"/>
      <c r="G24" s="8"/>
      <c r="H24" s="22"/>
    </row>
    <row r="25" spans="1:8" x14ac:dyDescent="0.35">
      <c r="A25" s="50">
        <v>43347</v>
      </c>
      <c r="B25" s="8" t="s">
        <v>178</v>
      </c>
      <c r="C25" s="9">
        <v>1</v>
      </c>
      <c r="D25" s="15">
        <v>50000</v>
      </c>
      <c r="E25" s="15">
        <f t="shared" si="0"/>
        <v>50000</v>
      </c>
      <c r="F25" s="19"/>
      <c r="G25" s="8"/>
      <c r="H25" s="22"/>
    </row>
    <row r="26" spans="1:8" x14ac:dyDescent="0.35">
      <c r="A26" s="50">
        <v>43347</v>
      </c>
      <c r="B26" s="8" t="s">
        <v>818</v>
      </c>
      <c r="C26" s="9">
        <v>4</v>
      </c>
      <c r="D26" s="15">
        <v>54000</v>
      </c>
      <c r="E26" s="15">
        <f t="shared" si="0"/>
        <v>216000</v>
      </c>
      <c r="F26" s="19"/>
      <c r="G26" s="8"/>
      <c r="H26" s="22"/>
    </row>
    <row r="27" spans="1:8" x14ac:dyDescent="0.35">
      <c r="A27" s="50">
        <v>43347</v>
      </c>
      <c r="B27" s="8" t="s">
        <v>819</v>
      </c>
      <c r="C27" s="9">
        <v>8</v>
      </c>
      <c r="D27" s="15">
        <v>60000</v>
      </c>
      <c r="E27" s="15">
        <f t="shared" si="0"/>
        <v>480000</v>
      </c>
      <c r="F27" s="19"/>
      <c r="G27" s="8"/>
      <c r="H27" s="22"/>
    </row>
    <row r="28" spans="1:8" x14ac:dyDescent="0.35">
      <c r="A28" s="50">
        <v>43347</v>
      </c>
      <c r="B28" s="8" t="s">
        <v>655</v>
      </c>
      <c r="C28" s="9">
        <v>4</v>
      </c>
      <c r="D28" s="15">
        <v>55000</v>
      </c>
      <c r="E28" s="15">
        <f t="shared" si="0"/>
        <v>220000</v>
      </c>
      <c r="F28" s="19"/>
      <c r="G28" s="8"/>
      <c r="H28" s="22"/>
    </row>
    <row r="29" spans="1:8" x14ac:dyDescent="0.35">
      <c r="A29" s="50">
        <v>43347</v>
      </c>
      <c r="B29" s="8" t="s">
        <v>820</v>
      </c>
      <c r="C29" s="9">
        <v>20</v>
      </c>
      <c r="D29" s="15">
        <v>8500</v>
      </c>
      <c r="E29" s="15">
        <f t="shared" si="0"/>
        <v>170000</v>
      </c>
      <c r="F29" s="19"/>
      <c r="G29" s="8"/>
      <c r="H29" s="22"/>
    </row>
    <row r="30" spans="1:8" x14ac:dyDescent="0.35">
      <c r="A30" s="50">
        <v>43347</v>
      </c>
      <c r="B30" s="8" t="s">
        <v>519</v>
      </c>
      <c r="C30" s="9">
        <v>13</v>
      </c>
      <c r="D30" s="15">
        <v>48000</v>
      </c>
      <c r="E30" s="15">
        <f t="shared" si="0"/>
        <v>624000</v>
      </c>
      <c r="F30" s="19"/>
      <c r="G30" s="8"/>
      <c r="H30" s="22"/>
    </row>
    <row r="31" spans="1:8" x14ac:dyDescent="0.35">
      <c r="A31" s="50">
        <v>43347</v>
      </c>
      <c r="B31" s="8" t="s">
        <v>382</v>
      </c>
      <c r="C31" s="9">
        <v>1</v>
      </c>
      <c r="D31" s="15">
        <v>57000</v>
      </c>
      <c r="E31" s="15">
        <f t="shared" si="0"/>
        <v>57000</v>
      </c>
      <c r="F31" s="19"/>
      <c r="G31" s="8"/>
      <c r="H31" s="22"/>
    </row>
    <row r="32" spans="1:8" x14ac:dyDescent="0.35">
      <c r="A32" s="50">
        <v>43347</v>
      </c>
      <c r="B32" s="8" t="s">
        <v>772</v>
      </c>
      <c r="C32" s="9">
        <v>2</v>
      </c>
      <c r="D32" s="15">
        <v>48000</v>
      </c>
      <c r="E32" s="15">
        <f t="shared" si="0"/>
        <v>96000</v>
      </c>
      <c r="F32" s="19"/>
      <c r="G32" s="8"/>
      <c r="H32" s="22"/>
    </row>
    <row r="33" spans="1:8" x14ac:dyDescent="0.35">
      <c r="A33" s="50">
        <v>43347</v>
      </c>
      <c r="B33" s="8" t="s">
        <v>817</v>
      </c>
      <c r="C33" s="9">
        <v>1</v>
      </c>
      <c r="D33" s="15">
        <v>57000</v>
      </c>
      <c r="E33" s="15">
        <f t="shared" si="0"/>
        <v>57000</v>
      </c>
      <c r="F33" s="19"/>
      <c r="G33" s="8"/>
      <c r="H33" s="22"/>
    </row>
    <row r="34" spans="1:8" x14ac:dyDescent="0.35">
      <c r="A34" s="50">
        <v>43348</v>
      </c>
      <c r="B34" s="8"/>
      <c r="C34" s="8"/>
      <c r="D34" s="15"/>
      <c r="E34" s="15">
        <f t="shared" si="0"/>
        <v>0</v>
      </c>
      <c r="F34" s="19"/>
      <c r="G34" s="8"/>
      <c r="H34" s="22"/>
    </row>
    <row r="35" spans="1:8" x14ac:dyDescent="0.35">
      <c r="A35" s="50">
        <v>43348</v>
      </c>
      <c r="B35" s="8" t="s">
        <v>18</v>
      </c>
      <c r="C35" s="9">
        <v>2</v>
      </c>
      <c r="D35" s="15">
        <v>54500</v>
      </c>
      <c r="E35" s="15">
        <f t="shared" si="0"/>
        <v>109000</v>
      </c>
      <c r="F35" s="19"/>
      <c r="G35" s="8"/>
      <c r="H35" s="22"/>
    </row>
    <row r="36" spans="1:8" x14ac:dyDescent="0.35">
      <c r="A36" s="50">
        <v>43348</v>
      </c>
      <c r="B36" s="8" t="s">
        <v>34</v>
      </c>
      <c r="C36" s="9">
        <v>19</v>
      </c>
      <c r="D36" s="15">
        <v>48000</v>
      </c>
      <c r="E36" s="15">
        <f t="shared" si="0"/>
        <v>912000</v>
      </c>
      <c r="F36" s="19"/>
      <c r="G36" s="8"/>
      <c r="H36" s="22"/>
    </row>
    <row r="37" spans="1:8" x14ac:dyDescent="0.35">
      <c r="A37" s="50">
        <v>43348</v>
      </c>
      <c r="B37" s="8" t="s">
        <v>822</v>
      </c>
      <c r="C37" s="9">
        <v>10</v>
      </c>
      <c r="D37" s="15">
        <v>800</v>
      </c>
      <c r="E37" s="15">
        <f t="shared" si="0"/>
        <v>8000</v>
      </c>
      <c r="F37" s="19"/>
      <c r="G37" s="8"/>
      <c r="H37" s="22"/>
    </row>
    <row r="38" spans="1:8" x14ac:dyDescent="0.35">
      <c r="A38" s="50">
        <v>43348</v>
      </c>
      <c r="B38" s="8" t="s">
        <v>292</v>
      </c>
      <c r="C38" s="9">
        <v>4</v>
      </c>
      <c r="D38" s="15">
        <v>54000</v>
      </c>
      <c r="E38" s="15">
        <f t="shared" si="0"/>
        <v>216000</v>
      </c>
      <c r="F38" s="19"/>
      <c r="G38" s="8"/>
      <c r="H38" s="22"/>
    </row>
    <row r="39" spans="1:8" x14ac:dyDescent="0.35">
      <c r="A39" s="50">
        <v>43348</v>
      </c>
      <c r="B39" s="8" t="s">
        <v>823</v>
      </c>
      <c r="C39" s="9">
        <v>2</v>
      </c>
      <c r="D39" s="15">
        <v>55000</v>
      </c>
      <c r="E39" s="15">
        <f t="shared" si="0"/>
        <v>110000</v>
      </c>
      <c r="F39" s="19"/>
      <c r="G39" s="8"/>
      <c r="H39" s="22"/>
    </row>
    <row r="40" spans="1:8" x14ac:dyDescent="0.35">
      <c r="A40" s="50">
        <v>43348</v>
      </c>
      <c r="B40" s="8" t="s">
        <v>824</v>
      </c>
      <c r="C40" s="9">
        <v>1</v>
      </c>
      <c r="D40" s="15">
        <v>128000</v>
      </c>
      <c r="E40" s="15">
        <f t="shared" si="0"/>
        <v>128000</v>
      </c>
      <c r="F40" s="19"/>
      <c r="G40" s="8"/>
      <c r="H40" s="22"/>
    </row>
    <row r="41" spans="1:8" x14ac:dyDescent="0.35">
      <c r="A41" s="50">
        <v>43349</v>
      </c>
      <c r="B41" s="8"/>
      <c r="C41" s="8"/>
      <c r="D41" s="15"/>
      <c r="E41" s="15">
        <f t="shared" si="0"/>
        <v>0</v>
      </c>
      <c r="F41" s="19"/>
      <c r="G41" s="8"/>
      <c r="H41" s="22"/>
    </row>
    <row r="42" spans="1:8" x14ac:dyDescent="0.35">
      <c r="A42" s="50">
        <v>43349</v>
      </c>
      <c r="B42" s="8" t="s">
        <v>31</v>
      </c>
      <c r="C42" s="9">
        <v>12</v>
      </c>
      <c r="D42" s="15">
        <v>48000</v>
      </c>
      <c r="E42" s="15">
        <f t="shared" si="0"/>
        <v>576000</v>
      </c>
      <c r="F42" s="19"/>
      <c r="G42" s="8"/>
      <c r="H42" s="22"/>
    </row>
    <row r="43" spans="1:8" x14ac:dyDescent="0.35">
      <c r="A43" s="50">
        <v>43349</v>
      </c>
      <c r="B43" s="8" t="s">
        <v>772</v>
      </c>
      <c r="C43" s="9">
        <v>4</v>
      </c>
      <c r="D43" s="15">
        <v>48500</v>
      </c>
      <c r="E43" s="15">
        <f t="shared" si="0"/>
        <v>194000</v>
      </c>
      <c r="F43" s="19"/>
      <c r="G43" s="8"/>
      <c r="H43" s="22"/>
    </row>
    <row r="44" spans="1:8" x14ac:dyDescent="0.35">
      <c r="A44" s="50">
        <v>43349</v>
      </c>
      <c r="B44" s="8" t="s">
        <v>821</v>
      </c>
      <c r="C44" s="9">
        <v>7</v>
      </c>
      <c r="D44" s="15">
        <v>2200</v>
      </c>
      <c r="E44" s="15">
        <f t="shared" si="0"/>
        <v>15400</v>
      </c>
      <c r="F44" s="19"/>
      <c r="G44" s="8"/>
      <c r="H44" s="22"/>
    </row>
    <row r="45" spans="1:8" x14ac:dyDescent="0.35">
      <c r="A45" s="50">
        <v>43349</v>
      </c>
      <c r="B45" s="8" t="s">
        <v>69</v>
      </c>
      <c r="C45" s="9">
        <v>5</v>
      </c>
      <c r="D45" s="15">
        <v>45000</v>
      </c>
      <c r="E45" s="15">
        <f t="shared" si="0"/>
        <v>225000</v>
      </c>
      <c r="F45" s="19"/>
      <c r="G45" s="8"/>
      <c r="H45" s="22"/>
    </row>
    <row r="46" spans="1:8" x14ac:dyDescent="0.35">
      <c r="A46" s="50">
        <v>43349</v>
      </c>
      <c r="B46" s="8" t="s">
        <v>38</v>
      </c>
      <c r="C46" s="9">
        <v>2</v>
      </c>
      <c r="D46" s="15">
        <v>51000</v>
      </c>
      <c r="E46" s="15">
        <f t="shared" si="0"/>
        <v>102000</v>
      </c>
      <c r="F46" s="19"/>
      <c r="G46" s="8"/>
      <c r="H46" s="22"/>
    </row>
    <row r="47" spans="1:8" x14ac:dyDescent="0.35">
      <c r="A47" s="50">
        <v>43349</v>
      </c>
      <c r="B47" s="8" t="s">
        <v>248</v>
      </c>
      <c r="C47" s="9">
        <v>19</v>
      </c>
      <c r="D47" s="15">
        <v>58000</v>
      </c>
      <c r="E47" s="15">
        <f t="shared" si="0"/>
        <v>1102000</v>
      </c>
      <c r="F47" s="19"/>
      <c r="G47" s="8"/>
      <c r="H47" s="22"/>
    </row>
    <row r="48" spans="1:8" x14ac:dyDescent="0.35">
      <c r="A48" s="50">
        <v>43349</v>
      </c>
      <c r="B48" s="8" t="s">
        <v>18</v>
      </c>
      <c r="C48" s="9">
        <v>4</v>
      </c>
      <c r="D48" s="15">
        <v>54000</v>
      </c>
      <c r="E48" s="15">
        <f t="shared" si="0"/>
        <v>216000</v>
      </c>
      <c r="F48" s="19"/>
      <c r="G48" s="8"/>
      <c r="H48" s="22"/>
    </row>
    <row r="49" spans="1:8" x14ac:dyDescent="0.35">
      <c r="A49" s="50">
        <v>43349</v>
      </c>
      <c r="B49" s="8" t="s">
        <v>825</v>
      </c>
      <c r="C49" s="9">
        <v>1</v>
      </c>
      <c r="D49" s="15">
        <v>15000</v>
      </c>
      <c r="E49" s="15">
        <f t="shared" si="0"/>
        <v>15000</v>
      </c>
      <c r="F49" s="19"/>
      <c r="G49" s="8"/>
      <c r="H49" s="22"/>
    </row>
    <row r="50" spans="1:8" x14ac:dyDescent="0.35">
      <c r="A50" s="50">
        <v>43349</v>
      </c>
      <c r="B50" s="8" t="s">
        <v>227</v>
      </c>
      <c r="C50" s="9">
        <v>1</v>
      </c>
      <c r="D50" s="15">
        <v>39000</v>
      </c>
      <c r="E50" s="15">
        <f t="shared" si="0"/>
        <v>39000</v>
      </c>
      <c r="F50" s="19"/>
      <c r="G50" s="8"/>
      <c r="H50" s="22"/>
    </row>
    <row r="51" spans="1:8" x14ac:dyDescent="0.35">
      <c r="A51" s="50">
        <v>43349</v>
      </c>
      <c r="B51" s="8" t="s">
        <v>328</v>
      </c>
      <c r="C51" s="9">
        <v>2</v>
      </c>
      <c r="D51" s="15">
        <v>10000</v>
      </c>
      <c r="E51" s="15">
        <f t="shared" si="0"/>
        <v>20000</v>
      </c>
      <c r="F51" s="19"/>
      <c r="G51" s="8"/>
      <c r="H51" s="22"/>
    </row>
    <row r="52" spans="1:8" x14ac:dyDescent="0.35">
      <c r="A52" s="50">
        <v>43349</v>
      </c>
      <c r="B52" s="8" t="s">
        <v>765</v>
      </c>
      <c r="C52" s="9">
        <v>26</v>
      </c>
      <c r="D52" s="15">
        <v>44000</v>
      </c>
      <c r="E52" s="15">
        <f t="shared" si="0"/>
        <v>1144000</v>
      </c>
      <c r="F52" s="19"/>
      <c r="G52" s="8"/>
      <c r="H52" s="22"/>
    </row>
    <row r="53" spans="1:8" x14ac:dyDescent="0.35">
      <c r="A53" s="50">
        <v>43349</v>
      </c>
      <c r="B53" s="8" t="s">
        <v>826</v>
      </c>
      <c r="C53" s="9">
        <v>8</v>
      </c>
      <c r="D53" s="15">
        <v>40000</v>
      </c>
      <c r="E53" s="15">
        <f t="shared" si="0"/>
        <v>320000</v>
      </c>
      <c r="F53" s="19"/>
      <c r="G53" s="8"/>
      <c r="H53" s="22"/>
    </row>
    <row r="54" spans="1:8" x14ac:dyDescent="0.35">
      <c r="A54" s="50">
        <v>43349</v>
      </c>
      <c r="B54" s="8" t="s">
        <v>825</v>
      </c>
      <c r="C54" s="9">
        <v>1</v>
      </c>
      <c r="D54" s="15">
        <v>15000</v>
      </c>
      <c r="E54" s="15">
        <f t="shared" si="0"/>
        <v>15000</v>
      </c>
      <c r="F54" s="19"/>
      <c r="G54" s="8"/>
      <c r="H54" s="22"/>
    </row>
    <row r="55" spans="1:8" x14ac:dyDescent="0.35">
      <c r="A55" s="50">
        <v>43350</v>
      </c>
      <c r="B55" s="8"/>
      <c r="C55" s="8"/>
      <c r="D55" s="15"/>
      <c r="E55" s="15">
        <f t="shared" si="0"/>
        <v>0</v>
      </c>
      <c r="F55" s="19"/>
      <c r="G55" s="8"/>
      <c r="H55" s="22"/>
    </row>
    <row r="56" spans="1:8" x14ac:dyDescent="0.35">
      <c r="A56" s="50">
        <v>43350</v>
      </c>
      <c r="B56" s="8" t="s">
        <v>819</v>
      </c>
      <c r="C56" s="9">
        <v>2</v>
      </c>
      <c r="D56" s="15">
        <v>60000</v>
      </c>
      <c r="E56" s="15">
        <f t="shared" si="0"/>
        <v>120000</v>
      </c>
      <c r="F56" s="19"/>
      <c r="G56" s="8"/>
      <c r="H56" s="22"/>
    </row>
    <row r="57" spans="1:8" x14ac:dyDescent="0.35">
      <c r="A57" s="50">
        <v>43350</v>
      </c>
      <c r="B57" s="8" t="s">
        <v>828</v>
      </c>
      <c r="C57" s="9">
        <v>1</v>
      </c>
      <c r="D57" s="15">
        <v>10000</v>
      </c>
      <c r="E57" s="15">
        <f t="shared" si="0"/>
        <v>10000</v>
      </c>
      <c r="F57" s="19"/>
      <c r="G57" s="8"/>
      <c r="H57" s="22"/>
    </row>
    <row r="58" spans="1:8" x14ac:dyDescent="0.35">
      <c r="A58" s="50">
        <v>43350</v>
      </c>
      <c r="B58" s="8" t="s">
        <v>248</v>
      </c>
      <c r="C58" s="9">
        <v>6</v>
      </c>
      <c r="D58" s="15">
        <v>57000</v>
      </c>
      <c r="E58" s="15">
        <f t="shared" si="0"/>
        <v>342000</v>
      </c>
      <c r="F58" s="19"/>
      <c r="G58" s="8"/>
      <c r="H58" s="22"/>
    </row>
    <row r="59" spans="1:8" x14ac:dyDescent="0.35">
      <c r="A59" s="50">
        <v>43350</v>
      </c>
      <c r="B59" s="8" t="s">
        <v>827</v>
      </c>
      <c r="C59" s="9">
        <v>24</v>
      </c>
      <c r="D59" s="15">
        <v>9500</v>
      </c>
      <c r="E59" s="15">
        <f t="shared" si="0"/>
        <v>228000</v>
      </c>
      <c r="F59" s="19"/>
      <c r="G59" s="8"/>
      <c r="H59" s="22"/>
    </row>
    <row r="60" spans="1:8" x14ac:dyDescent="0.35">
      <c r="A60" s="50">
        <v>43350</v>
      </c>
      <c r="B60" s="8" t="s">
        <v>101</v>
      </c>
      <c r="C60" s="9">
        <v>3</v>
      </c>
      <c r="D60" s="15">
        <v>54000</v>
      </c>
      <c r="E60" s="15">
        <f t="shared" si="0"/>
        <v>162000</v>
      </c>
      <c r="F60" s="19"/>
      <c r="G60" s="8"/>
      <c r="H60" s="22"/>
    </row>
    <row r="61" spans="1:8" x14ac:dyDescent="0.35">
      <c r="A61" s="50">
        <v>43351</v>
      </c>
      <c r="B61" s="8"/>
      <c r="C61" s="8"/>
      <c r="D61" s="15"/>
      <c r="E61" s="15">
        <f t="shared" si="0"/>
        <v>0</v>
      </c>
      <c r="F61" s="19"/>
      <c r="G61" s="8"/>
      <c r="H61" s="22"/>
    </row>
    <row r="62" spans="1:8" x14ac:dyDescent="0.35">
      <c r="A62" s="50">
        <v>43351</v>
      </c>
      <c r="B62" s="8" t="s">
        <v>519</v>
      </c>
      <c r="C62" s="9">
        <v>3</v>
      </c>
      <c r="D62" s="15">
        <v>48000</v>
      </c>
      <c r="E62" s="15">
        <f t="shared" si="0"/>
        <v>144000</v>
      </c>
      <c r="F62" s="19"/>
      <c r="G62" s="8"/>
      <c r="H62" s="22"/>
    </row>
    <row r="63" spans="1:8" x14ac:dyDescent="0.35">
      <c r="A63" s="50">
        <v>43351</v>
      </c>
      <c r="B63" s="8" t="s">
        <v>765</v>
      </c>
      <c r="C63" s="9">
        <v>14</v>
      </c>
      <c r="D63" s="15">
        <v>44000</v>
      </c>
      <c r="E63" s="15">
        <f t="shared" si="0"/>
        <v>616000</v>
      </c>
      <c r="F63" s="19"/>
      <c r="G63" s="8"/>
      <c r="H63" s="22"/>
    </row>
    <row r="64" spans="1:8" x14ac:dyDescent="0.35">
      <c r="A64" s="50">
        <v>43351</v>
      </c>
      <c r="B64" s="8" t="s">
        <v>181</v>
      </c>
      <c r="C64" s="9">
        <v>6</v>
      </c>
      <c r="D64" s="15">
        <v>48000</v>
      </c>
      <c r="E64" s="15">
        <f t="shared" si="0"/>
        <v>288000</v>
      </c>
      <c r="F64" s="19"/>
      <c r="G64" s="8"/>
      <c r="H64" s="22"/>
    </row>
    <row r="65" spans="1:8" x14ac:dyDescent="0.35">
      <c r="A65" s="50">
        <v>43351</v>
      </c>
      <c r="B65" s="8" t="s">
        <v>4</v>
      </c>
      <c r="C65" s="9">
        <v>25</v>
      </c>
      <c r="D65" s="15">
        <v>39000</v>
      </c>
      <c r="E65" s="15">
        <f t="shared" si="0"/>
        <v>975000</v>
      </c>
      <c r="F65" s="19"/>
      <c r="G65" s="8"/>
      <c r="H65" s="22"/>
    </row>
    <row r="66" spans="1:8" x14ac:dyDescent="0.35">
      <c r="A66" s="50">
        <v>43351</v>
      </c>
      <c r="B66" s="8" t="s">
        <v>823</v>
      </c>
      <c r="C66" s="9">
        <v>2</v>
      </c>
      <c r="D66" s="15">
        <v>55000</v>
      </c>
      <c r="E66" s="15">
        <f t="shared" si="0"/>
        <v>110000</v>
      </c>
      <c r="F66" s="19"/>
      <c r="G66" s="8"/>
      <c r="H66" s="22"/>
    </row>
    <row r="67" spans="1:8" x14ac:dyDescent="0.35">
      <c r="A67" s="50">
        <v>43351</v>
      </c>
      <c r="B67" s="8" t="s">
        <v>483</v>
      </c>
      <c r="C67" s="9">
        <v>4</v>
      </c>
      <c r="D67" s="15">
        <v>55000</v>
      </c>
      <c r="E67" s="15">
        <f t="shared" si="0"/>
        <v>220000</v>
      </c>
      <c r="F67" s="19"/>
      <c r="G67" s="8"/>
      <c r="H67" s="22"/>
    </row>
    <row r="68" spans="1:8" x14ac:dyDescent="0.35">
      <c r="A68" s="50">
        <v>43351</v>
      </c>
      <c r="B68" s="8" t="s">
        <v>832</v>
      </c>
      <c r="C68" s="9">
        <v>1</v>
      </c>
      <c r="D68" s="15">
        <v>130000</v>
      </c>
      <c r="E68" s="15">
        <f t="shared" ref="E68:E73" si="1">D68*C68</f>
        <v>130000</v>
      </c>
      <c r="F68" s="19"/>
      <c r="G68" s="8"/>
      <c r="H68" s="22"/>
    </row>
    <row r="69" spans="1:8" x14ac:dyDescent="0.35">
      <c r="A69" s="50">
        <v>43351</v>
      </c>
      <c r="B69" s="8" t="s">
        <v>831</v>
      </c>
      <c r="C69" s="9">
        <v>30</v>
      </c>
      <c r="D69" s="15">
        <v>4000</v>
      </c>
      <c r="E69" s="15">
        <f t="shared" si="1"/>
        <v>120000</v>
      </c>
      <c r="F69" s="19"/>
      <c r="G69" s="8"/>
      <c r="H69" s="22"/>
    </row>
    <row r="70" spans="1:8" x14ac:dyDescent="0.35">
      <c r="A70" s="50">
        <v>43351</v>
      </c>
      <c r="B70" s="8" t="s">
        <v>811</v>
      </c>
      <c r="C70" s="9">
        <v>1</v>
      </c>
      <c r="D70" s="15">
        <v>15000</v>
      </c>
      <c r="E70" s="15">
        <f t="shared" si="1"/>
        <v>15000</v>
      </c>
      <c r="F70" s="19"/>
      <c r="G70" s="8"/>
      <c r="H70" s="22"/>
    </row>
    <row r="71" spans="1:8" x14ac:dyDescent="0.35">
      <c r="A71" s="50">
        <v>43351</v>
      </c>
      <c r="B71" s="8" t="s">
        <v>750</v>
      </c>
      <c r="C71" s="9">
        <v>30</v>
      </c>
      <c r="D71" s="15">
        <v>44500</v>
      </c>
      <c r="E71" s="15">
        <f t="shared" si="1"/>
        <v>1335000</v>
      </c>
      <c r="F71" s="19"/>
      <c r="G71" s="8"/>
      <c r="H71" s="22"/>
    </row>
    <row r="72" spans="1:8" x14ac:dyDescent="0.35">
      <c r="A72" s="50">
        <v>43351</v>
      </c>
      <c r="B72" s="8" t="s">
        <v>830</v>
      </c>
      <c r="C72" s="9">
        <v>3</v>
      </c>
      <c r="D72" s="15">
        <v>57000</v>
      </c>
      <c r="E72" s="15">
        <f t="shared" si="1"/>
        <v>171000</v>
      </c>
      <c r="F72" s="19"/>
      <c r="G72" s="8"/>
      <c r="H72" s="22"/>
    </row>
    <row r="73" spans="1:8" x14ac:dyDescent="0.35">
      <c r="A73" s="50">
        <v>43351</v>
      </c>
      <c r="B73" s="11" t="s">
        <v>829</v>
      </c>
      <c r="C73" s="10">
        <v>28</v>
      </c>
      <c r="D73" s="16">
        <v>2000</v>
      </c>
      <c r="E73" s="15">
        <f t="shared" si="1"/>
        <v>56000</v>
      </c>
      <c r="F73" s="20"/>
      <c r="G73" s="11"/>
      <c r="H73" s="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0"/>
  <sheetViews>
    <sheetView topLeftCell="A30" workbookViewId="0">
      <selection activeCell="F41" sqref="F41"/>
    </sheetView>
  </sheetViews>
  <sheetFormatPr defaultRowHeight="15.5" x14ac:dyDescent="0.35"/>
  <cols>
    <col min="1" max="1" width="10.33203125" style="13" bestFit="1" customWidth="1"/>
    <col min="2" max="2" width="23.5" style="5" customWidth="1"/>
    <col min="3" max="3" width="12.6640625" style="5" customWidth="1"/>
    <col min="4" max="5" width="15.58203125" style="17" customWidth="1"/>
    <col min="6" max="6" width="14.1640625" style="13" customWidth="1"/>
    <col min="7" max="7" width="14.08203125" style="6" customWidth="1"/>
    <col min="8" max="8" width="14.83203125" style="17" customWidth="1"/>
  </cols>
  <sheetData>
    <row r="1" spans="1:8" x14ac:dyDescent="0.35">
      <c r="A1" s="13" t="s">
        <v>834</v>
      </c>
      <c r="B1" s="5" t="s">
        <v>835</v>
      </c>
      <c r="C1" s="5" t="s">
        <v>836</v>
      </c>
      <c r="D1" s="17" t="s">
        <v>837</v>
      </c>
      <c r="E1" s="14" t="s">
        <v>838</v>
      </c>
      <c r="F1" s="13" t="s">
        <v>839</v>
      </c>
      <c r="G1" s="6" t="s">
        <v>840</v>
      </c>
      <c r="H1" s="17" t="s">
        <v>841</v>
      </c>
    </row>
    <row r="3" spans="1:8" x14ac:dyDescent="0.35">
      <c r="A3" s="13">
        <v>43221</v>
      </c>
      <c r="F3" s="13">
        <v>43225</v>
      </c>
    </row>
    <row r="4" spans="1:8" x14ac:dyDescent="0.35">
      <c r="A4" s="13">
        <v>43221</v>
      </c>
      <c r="B4" s="5" t="s">
        <v>499</v>
      </c>
      <c r="C4" s="5">
        <v>2</v>
      </c>
      <c r="D4" s="17">
        <v>39000</v>
      </c>
      <c r="F4" s="13">
        <v>43225</v>
      </c>
      <c r="G4" s="6" t="s">
        <v>236</v>
      </c>
      <c r="H4" s="17">
        <v>100000</v>
      </c>
    </row>
    <row r="5" spans="1:8" x14ac:dyDescent="0.35">
      <c r="A5" s="13">
        <v>43221</v>
      </c>
      <c r="B5" s="5" t="s">
        <v>38</v>
      </c>
      <c r="C5" s="5">
        <v>1</v>
      </c>
      <c r="D5" s="17">
        <v>49000</v>
      </c>
      <c r="E5" s="17">
        <f>D5*C5</f>
        <v>49000</v>
      </c>
      <c r="F5" s="13">
        <v>43225</v>
      </c>
      <c r="G5" s="6" t="s">
        <v>507</v>
      </c>
      <c r="H5" s="17">
        <v>25000</v>
      </c>
    </row>
    <row r="6" spans="1:8" x14ac:dyDescent="0.35">
      <c r="A6" s="13">
        <v>43221</v>
      </c>
      <c r="B6" s="5" t="s">
        <v>34</v>
      </c>
      <c r="C6" s="5">
        <v>50</v>
      </c>
      <c r="D6" s="17">
        <v>47500</v>
      </c>
      <c r="E6" s="17">
        <f t="shared" ref="E6:E69" si="0">D6*C6</f>
        <v>2375000</v>
      </c>
      <c r="F6" s="13">
        <v>43225</v>
      </c>
      <c r="G6" s="6" t="s">
        <v>270</v>
      </c>
      <c r="H6" s="17">
        <v>20000</v>
      </c>
    </row>
    <row r="7" spans="1:8" x14ac:dyDescent="0.35">
      <c r="A7" s="13">
        <v>43221</v>
      </c>
      <c r="B7" s="5" t="s">
        <v>60</v>
      </c>
      <c r="C7" s="5">
        <v>6</v>
      </c>
      <c r="D7" s="17">
        <v>54000</v>
      </c>
      <c r="E7" s="17">
        <f t="shared" si="0"/>
        <v>324000</v>
      </c>
    </row>
    <row r="8" spans="1:8" x14ac:dyDescent="0.35">
      <c r="A8" s="13">
        <v>43221</v>
      </c>
      <c r="B8" s="5" t="s">
        <v>500</v>
      </c>
      <c r="C8" s="5">
        <v>1</v>
      </c>
      <c r="D8" s="17">
        <v>15000</v>
      </c>
      <c r="E8" s="17">
        <f t="shared" si="0"/>
        <v>15000</v>
      </c>
      <c r="F8" s="13">
        <v>43226</v>
      </c>
      <c r="G8" s="6" t="s">
        <v>17</v>
      </c>
      <c r="H8" s="17">
        <v>50000</v>
      </c>
    </row>
    <row r="9" spans="1:8" x14ac:dyDescent="0.35">
      <c r="A9" s="13">
        <v>43221</v>
      </c>
      <c r="B9" s="5" t="s">
        <v>373</v>
      </c>
      <c r="C9" s="5">
        <v>26</v>
      </c>
      <c r="D9" s="17">
        <v>1600</v>
      </c>
      <c r="E9" s="17">
        <f t="shared" si="0"/>
        <v>41600</v>
      </c>
    </row>
    <row r="10" spans="1:8" x14ac:dyDescent="0.35">
      <c r="A10" s="13">
        <v>43222</v>
      </c>
      <c r="E10" s="17">
        <f t="shared" si="0"/>
        <v>0</v>
      </c>
      <c r="F10" s="13">
        <v>43230</v>
      </c>
      <c r="G10" s="6" t="s">
        <v>236</v>
      </c>
      <c r="H10" s="17">
        <v>150000</v>
      </c>
    </row>
    <row r="11" spans="1:8" x14ac:dyDescent="0.35">
      <c r="A11" s="13">
        <v>43222</v>
      </c>
      <c r="B11" s="5" t="s">
        <v>501</v>
      </c>
      <c r="C11" s="5">
        <v>16</v>
      </c>
      <c r="D11" s="17">
        <v>58000</v>
      </c>
      <c r="E11" s="17">
        <f t="shared" si="0"/>
        <v>928000</v>
      </c>
      <c r="F11" s="13">
        <v>43230</v>
      </c>
      <c r="G11" s="6" t="s">
        <v>16</v>
      </c>
      <c r="H11" s="17">
        <v>22000</v>
      </c>
    </row>
    <row r="12" spans="1:8" x14ac:dyDescent="0.35">
      <c r="A12" s="13">
        <v>43222</v>
      </c>
      <c r="B12" s="5" t="s">
        <v>502</v>
      </c>
      <c r="C12" s="5">
        <v>25</v>
      </c>
      <c r="D12" s="17">
        <v>2000</v>
      </c>
      <c r="E12" s="17">
        <f t="shared" si="0"/>
        <v>50000</v>
      </c>
      <c r="F12" s="13">
        <v>43230</v>
      </c>
      <c r="G12" s="6" t="s">
        <v>14</v>
      </c>
      <c r="H12" s="17">
        <v>18000</v>
      </c>
    </row>
    <row r="13" spans="1:8" x14ac:dyDescent="0.35">
      <c r="A13" s="13">
        <v>43222</v>
      </c>
      <c r="B13" s="5" t="s">
        <v>479</v>
      </c>
      <c r="C13" s="5">
        <v>1</v>
      </c>
      <c r="D13" s="17">
        <v>55000</v>
      </c>
      <c r="E13" s="17">
        <f t="shared" si="0"/>
        <v>55000</v>
      </c>
      <c r="F13" s="13">
        <v>43230</v>
      </c>
      <c r="G13" s="6" t="s">
        <v>536</v>
      </c>
      <c r="H13" s="17">
        <v>15000</v>
      </c>
    </row>
    <row r="14" spans="1:8" x14ac:dyDescent="0.35">
      <c r="A14" s="13">
        <v>43222</v>
      </c>
      <c r="B14" s="5" t="s">
        <v>503</v>
      </c>
      <c r="C14" s="5">
        <v>1</v>
      </c>
      <c r="D14" s="17">
        <v>15000</v>
      </c>
      <c r="E14" s="17">
        <f t="shared" si="0"/>
        <v>15000</v>
      </c>
    </row>
    <row r="15" spans="1:8" x14ac:dyDescent="0.35">
      <c r="A15" s="13">
        <v>43222</v>
      </c>
      <c r="B15" s="5" t="s">
        <v>125</v>
      </c>
      <c r="C15" s="5">
        <v>6</v>
      </c>
      <c r="D15" s="17">
        <v>39000</v>
      </c>
      <c r="E15" s="17">
        <f t="shared" si="0"/>
        <v>234000</v>
      </c>
      <c r="F15" s="13">
        <v>43231</v>
      </c>
      <c r="G15" s="6" t="s">
        <v>17</v>
      </c>
      <c r="H15" s="17">
        <v>125000</v>
      </c>
    </row>
    <row r="16" spans="1:8" x14ac:dyDescent="0.35">
      <c r="A16" s="13">
        <v>43222</v>
      </c>
      <c r="B16" s="5" t="s">
        <v>33</v>
      </c>
      <c r="C16" s="5">
        <v>3</v>
      </c>
      <c r="D16" s="17">
        <v>49000</v>
      </c>
      <c r="E16" s="17">
        <f t="shared" si="0"/>
        <v>147000</v>
      </c>
    </row>
    <row r="17" spans="1:8" x14ac:dyDescent="0.35">
      <c r="A17" s="13">
        <v>43222</v>
      </c>
      <c r="B17" s="5" t="s">
        <v>504</v>
      </c>
      <c r="C17" s="5">
        <v>2</v>
      </c>
      <c r="D17" s="17">
        <v>52000</v>
      </c>
      <c r="E17" s="17">
        <f t="shared" si="0"/>
        <v>104000</v>
      </c>
      <c r="F17" s="13">
        <v>43232</v>
      </c>
      <c r="G17" s="6" t="s">
        <v>507</v>
      </c>
      <c r="H17" s="17">
        <v>30000</v>
      </c>
    </row>
    <row r="18" spans="1:8" x14ac:dyDescent="0.35">
      <c r="A18" s="13">
        <v>43222</v>
      </c>
      <c r="B18" s="5" t="s">
        <v>191</v>
      </c>
      <c r="C18" s="5">
        <v>10</v>
      </c>
      <c r="D18" s="17">
        <v>48000</v>
      </c>
      <c r="E18" s="17">
        <f t="shared" si="0"/>
        <v>480000</v>
      </c>
      <c r="F18" s="13">
        <v>43232</v>
      </c>
      <c r="G18" s="6" t="s">
        <v>78</v>
      </c>
      <c r="H18" s="17">
        <v>937000</v>
      </c>
    </row>
    <row r="19" spans="1:8" x14ac:dyDescent="0.35">
      <c r="A19" s="13">
        <v>43222</v>
      </c>
      <c r="B19" s="5" t="s">
        <v>25</v>
      </c>
      <c r="C19" s="5">
        <v>2</v>
      </c>
      <c r="D19" s="17">
        <v>54000</v>
      </c>
      <c r="E19" s="17">
        <f t="shared" si="0"/>
        <v>108000</v>
      </c>
      <c r="F19" s="13">
        <v>43232</v>
      </c>
      <c r="G19" s="6" t="s">
        <v>77</v>
      </c>
      <c r="H19" s="17">
        <v>330000</v>
      </c>
    </row>
    <row r="20" spans="1:8" x14ac:dyDescent="0.35">
      <c r="A20" s="13">
        <v>43222</v>
      </c>
      <c r="B20" s="5" t="s">
        <v>422</v>
      </c>
      <c r="C20" s="5">
        <v>12</v>
      </c>
      <c r="D20" s="17">
        <v>45000</v>
      </c>
      <c r="E20" s="17">
        <f t="shared" si="0"/>
        <v>540000</v>
      </c>
    </row>
    <row r="21" spans="1:8" x14ac:dyDescent="0.35">
      <c r="A21" s="13">
        <v>43222</v>
      </c>
      <c r="B21" s="5" t="s">
        <v>404</v>
      </c>
      <c r="C21" s="5">
        <v>5</v>
      </c>
      <c r="D21" s="17">
        <v>47000</v>
      </c>
      <c r="E21" s="17">
        <f t="shared" si="0"/>
        <v>235000</v>
      </c>
      <c r="F21" s="13">
        <v>43235</v>
      </c>
      <c r="G21" s="6" t="s">
        <v>546</v>
      </c>
      <c r="H21" s="17">
        <v>100000</v>
      </c>
    </row>
    <row r="22" spans="1:8" x14ac:dyDescent="0.35">
      <c r="A22" s="13">
        <v>43222</v>
      </c>
      <c r="B22" s="5" t="s">
        <v>129</v>
      </c>
      <c r="C22" s="5">
        <v>1</v>
      </c>
      <c r="D22" s="17">
        <v>14000</v>
      </c>
      <c r="E22" s="17">
        <f t="shared" si="0"/>
        <v>14000</v>
      </c>
      <c r="F22" s="13">
        <v>43235</v>
      </c>
      <c r="G22" s="6" t="s">
        <v>17</v>
      </c>
      <c r="H22" s="17">
        <v>50000</v>
      </c>
    </row>
    <row r="23" spans="1:8" x14ac:dyDescent="0.35">
      <c r="A23" s="13">
        <v>43223</v>
      </c>
      <c r="E23" s="17">
        <f t="shared" si="0"/>
        <v>0</v>
      </c>
    </row>
    <row r="24" spans="1:8" x14ac:dyDescent="0.35">
      <c r="A24" s="13">
        <v>43223</v>
      </c>
      <c r="B24" s="5" t="s">
        <v>68</v>
      </c>
      <c r="C24" s="5">
        <v>1</v>
      </c>
      <c r="D24" s="17">
        <v>15000</v>
      </c>
      <c r="E24" s="17">
        <f t="shared" si="0"/>
        <v>15000</v>
      </c>
      <c r="F24" s="13">
        <v>43238</v>
      </c>
      <c r="G24" s="6" t="s">
        <v>77</v>
      </c>
      <c r="H24" s="17">
        <v>390000</v>
      </c>
    </row>
    <row r="25" spans="1:8" x14ac:dyDescent="0.35">
      <c r="A25" s="13">
        <v>43223</v>
      </c>
      <c r="B25" s="5" t="s">
        <v>140</v>
      </c>
      <c r="C25" s="5">
        <v>6</v>
      </c>
      <c r="D25" s="17">
        <v>55000</v>
      </c>
      <c r="E25" s="17">
        <f t="shared" si="0"/>
        <v>330000</v>
      </c>
      <c r="F25" s="13">
        <v>43238</v>
      </c>
      <c r="G25" s="6" t="s">
        <v>236</v>
      </c>
      <c r="H25" s="17">
        <v>150000</v>
      </c>
    </row>
    <row r="26" spans="1:8" x14ac:dyDescent="0.35">
      <c r="A26" s="13">
        <v>43223</v>
      </c>
      <c r="B26" s="5" t="s">
        <v>120</v>
      </c>
      <c r="C26" s="5">
        <v>1</v>
      </c>
      <c r="D26" s="17">
        <v>47000</v>
      </c>
      <c r="E26" s="17">
        <f t="shared" si="0"/>
        <v>47000</v>
      </c>
      <c r="F26" s="13">
        <v>43238</v>
      </c>
      <c r="G26" s="6" t="s">
        <v>16</v>
      </c>
      <c r="H26" s="17">
        <v>22000</v>
      </c>
    </row>
    <row r="27" spans="1:8" x14ac:dyDescent="0.35">
      <c r="A27" s="13">
        <v>43223</v>
      </c>
      <c r="B27" s="5" t="s">
        <v>321</v>
      </c>
      <c r="C27" s="5">
        <v>3</v>
      </c>
      <c r="D27" s="17">
        <v>52000</v>
      </c>
      <c r="E27" s="17">
        <f t="shared" si="0"/>
        <v>156000</v>
      </c>
      <c r="F27" s="13">
        <v>43238</v>
      </c>
      <c r="G27" s="6" t="s">
        <v>196</v>
      </c>
      <c r="H27" s="17">
        <v>23000</v>
      </c>
    </row>
    <row r="28" spans="1:8" x14ac:dyDescent="0.35">
      <c r="A28" s="13">
        <v>43223</v>
      </c>
      <c r="B28" s="5" t="s">
        <v>499</v>
      </c>
      <c r="C28" s="5">
        <v>3</v>
      </c>
      <c r="D28" s="17">
        <v>38000</v>
      </c>
      <c r="E28" s="17">
        <f t="shared" si="0"/>
        <v>114000</v>
      </c>
    </row>
    <row r="29" spans="1:8" x14ac:dyDescent="0.35">
      <c r="A29" s="13">
        <v>43223</v>
      </c>
      <c r="B29" s="5" t="s">
        <v>505</v>
      </c>
      <c r="C29" s="5">
        <v>2</v>
      </c>
      <c r="D29" s="17">
        <v>54000</v>
      </c>
      <c r="E29" s="17">
        <f t="shared" si="0"/>
        <v>108000</v>
      </c>
      <c r="F29" s="13">
        <v>43243</v>
      </c>
      <c r="G29" s="6" t="s">
        <v>17</v>
      </c>
      <c r="H29" s="17">
        <v>25000</v>
      </c>
    </row>
    <row r="30" spans="1:8" x14ac:dyDescent="0.35">
      <c r="A30" s="13">
        <v>43223</v>
      </c>
      <c r="B30" s="5" t="s">
        <v>506</v>
      </c>
      <c r="C30" s="5">
        <v>20</v>
      </c>
      <c r="D30" s="17">
        <v>1500</v>
      </c>
      <c r="E30" s="17">
        <f t="shared" si="0"/>
        <v>30000</v>
      </c>
    </row>
    <row r="31" spans="1:8" x14ac:dyDescent="0.35">
      <c r="A31" s="13">
        <v>43224</v>
      </c>
      <c r="E31" s="17">
        <f t="shared" si="0"/>
        <v>0</v>
      </c>
      <c r="F31" s="13">
        <v>43246</v>
      </c>
      <c r="G31" s="6" t="s">
        <v>308</v>
      </c>
      <c r="H31" s="17">
        <v>150000</v>
      </c>
    </row>
    <row r="32" spans="1:8" x14ac:dyDescent="0.35">
      <c r="A32" s="13">
        <v>43224</v>
      </c>
      <c r="B32" s="5" t="s">
        <v>288</v>
      </c>
      <c r="C32" s="5">
        <v>2</v>
      </c>
      <c r="D32" s="17">
        <v>46000</v>
      </c>
      <c r="E32" s="17">
        <f t="shared" si="0"/>
        <v>92000</v>
      </c>
      <c r="F32" s="13">
        <v>43246</v>
      </c>
      <c r="G32" s="6" t="s">
        <v>507</v>
      </c>
      <c r="H32" s="17">
        <v>30000</v>
      </c>
    </row>
    <row r="33" spans="1:8" x14ac:dyDescent="0.35">
      <c r="A33" s="13">
        <v>43224</v>
      </c>
      <c r="B33" s="5" t="s">
        <v>404</v>
      </c>
      <c r="C33" s="5">
        <v>3</v>
      </c>
      <c r="D33" s="17">
        <v>47000</v>
      </c>
      <c r="E33" s="17">
        <f t="shared" si="0"/>
        <v>141000</v>
      </c>
      <c r="F33" s="13">
        <v>43246</v>
      </c>
      <c r="G33" s="6" t="s">
        <v>77</v>
      </c>
      <c r="H33" s="17">
        <v>345000</v>
      </c>
    </row>
    <row r="34" spans="1:8" x14ac:dyDescent="0.35">
      <c r="A34" s="13">
        <v>43224</v>
      </c>
      <c r="B34" s="5" t="s">
        <v>433</v>
      </c>
      <c r="C34" s="5">
        <v>4</v>
      </c>
      <c r="D34" s="17">
        <v>55000</v>
      </c>
      <c r="E34" s="17">
        <f t="shared" si="0"/>
        <v>220000</v>
      </c>
    </row>
    <row r="35" spans="1:8" x14ac:dyDescent="0.35">
      <c r="A35" s="13">
        <v>43224</v>
      </c>
      <c r="B35" s="5" t="s">
        <v>169</v>
      </c>
      <c r="C35" s="5">
        <v>5</v>
      </c>
      <c r="D35" s="17">
        <v>57000</v>
      </c>
      <c r="E35" s="17">
        <f t="shared" si="0"/>
        <v>285000</v>
      </c>
      <c r="F35" s="13">
        <v>43248</v>
      </c>
      <c r="G35" s="6" t="s">
        <v>17</v>
      </c>
      <c r="H35" s="17">
        <v>75000</v>
      </c>
    </row>
    <row r="36" spans="1:8" x14ac:dyDescent="0.35">
      <c r="A36" s="13">
        <v>43224</v>
      </c>
      <c r="B36" s="5" t="s">
        <v>410</v>
      </c>
      <c r="C36" s="5">
        <v>3</v>
      </c>
      <c r="D36" s="17">
        <v>53000</v>
      </c>
      <c r="E36" s="17">
        <f t="shared" si="0"/>
        <v>159000</v>
      </c>
    </row>
    <row r="37" spans="1:8" x14ac:dyDescent="0.35">
      <c r="A37" s="13">
        <v>43224</v>
      </c>
      <c r="B37" s="5" t="s">
        <v>508</v>
      </c>
      <c r="C37" s="5">
        <v>1</v>
      </c>
      <c r="D37" s="17">
        <v>128000</v>
      </c>
      <c r="E37" s="17">
        <f t="shared" si="0"/>
        <v>128000</v>
      </c>
      <c r="F37" s="13">
        <v>43249</v>
      </c>
      <c r="G37" s="6" t="s">
        <v>584</v>
      </c>
      <c r="H37" s="17">
        <v>10000</v>
      </c>
    </row>
    <row r="38" spans="1:8" x14ac:dyDescent="0.35">
      <c r="A38" s="13">
        <v>43224</v>
      </c>
      <c r="B38" s="5" t="s">
        <v>509</v>
      </c>
      <c r="C38" s="5">
        <v>1</v>
      </c>
      <c r="D38" s="17">
        <v>38000</v>
      </c>
      <c r="E38" s="17">
        <f t="shared" si="0"/>
        <v>38000</v>
      </c>
    </row>
    <row r="39" spans="1:8" x14ac:dyDescent="0.35">
      <c r="A39" s="13">
        <v>43224</v>
      </c>
      <c r="B39" s="5" t="s">
        <v>510</v>
      </c>
      <c r="C39" s="5">
        <v>11</v>
      </c>
      <c r="D39" s="17">
        <v>45000</v>
      </c>
      <c r="E39" s="17">
        <f t="shared" si="0"/>
        <v>495000</v>
      </c>
      <c r="F39" s="13">
        <v>43250</v>
      </c>
      <c r="G39" s="6" t="s">
        <v>277</v>
      </c>
      <c r="H39" s="17">
        <v>20000</v>
      </c>
    </row>
    <row r="40" spans="1:8" x14ac:dyDescent="0.35">
      <c r="A40" s="13">
        <v>43224</v>
      </c>
      <c r="B40" s="5" t="s">
        <v>32</v>
      </c>
      <c r="C40" s="5">
        <v>6</v>
      </c>
      <c r="D40" s="17">
        <v>43500</v>
      </c>
      <c r="E40" s="17">
        <f t="shared" si="0"/>
        <v>261000</v>
      </c>
    </row>
    <row r="41" spans="1:8" x14ac:dyDescent="0.35">
      <c r="A41" s="13">
        <v>43224</v>
      </c>
      <c r="B41" s="5" t="s">
        <v>511</v>
      </c>
      <c r="C41" s="5">
        <v>3</v>
      </c>
      <c r="D41" s="17">
        <v>57000</v>
      </c>
      <c r="E41" s="17">
        <f t="shared" si="0"/>
        <v>171000</v>
      </c>
      <c r="F41" s="13">
        <v>43251</v>
      </c>
      <c r="G41" s="6" t="s">
        <v>17</v>
      </c>
      <c r="H41" s="17">
        <v>50000</v>
      </c>
    </row>
    <row r="42" spans="1:8" x14ac:dyDescent="0.35">
      <c r="A42" s="13">
        <v>43224</v>
      </c>
      <c r="B42" s="5" t="s">
        <v>181</v>
      </c>
      <c r="C42" s="5">
        <v>1</v>
      </c>
      <c r="D42" s="17">
        <v>47000</v>
      </c>
      <c r="E42" s="17">
        <f t="shared" si="0"/>
        <v>47000</v>
      </c>
      <c r="F42" s="13" t="s">
        <v>833</v>
      </c>
      <c r="G42" s="5"/>
      <c r="H42" s="17">
        <f>SUM(H3:H41)</f>
        <v>3262000</v>
      </c>
    </row>
    <row r="43" spans="1:8" x14ac:dyDescent="0.35">
      <c r="A43" s="13">
        <v>43224</v>
      </c>
      <c r="B43" s="5" t="s">
        <v>312</v>
      </c>
      <c r="C43" s="5">
        <v>10</v>
      </c>
      <c r="D43" s="17">
        <v>2500</v>
      </c>
      <c r="E43" s="17">
        <f t="shared" si="0"/>
        <v>25000</v>
      </c>
    </row>
    <row r="44" spans="1:8" x14ac:dyDescent="0.35">
      <c r="A44" s="13">
        <v>43224</v>
      </c>
      <c r="B44" s="5" t="s">
        <v>140</v>
      </c>
      <c r="C44" s="5">
        <v>9</v>
      </c>
      <c r="D44" s="17">
        <v>56000</v>
      </c>
      <c r="E44" s="17">
        <f t="shared" si="0"/>
        <v>504000</v>
      </c>
    </row>
    <row r="45" spans="1:8" x14ac:dyDescent="0.35">
      <c r="A45" s="13">
        <v>43224</v>
      </c>
      <c r="B45" s="5" t="s">
        <v>72</v>
      </c>
      <c r="C45" s="5">
        <v>3</v>
      </c>
      <c r="D45" s="17">
        <v>47000</v>
      </c>
      <c r="E45" s="17">
        <f t="shared" si="0"/>
        <v>141000</v>
      </c>
    </row>
    <row r="46" spans="1:8" x14ac:dyDescent="0.35">
      <c r="A46" s="13">
        <v>43224</v>
      </c>
      <c r="B46" s="5" t="s">
        <v>7</v>
      </c>
      <c r="C46" s="5">
        <v>2</v>
      </c>
      <c r="D46" s="17">
        <v>47000</v>
      </c>
      <c r="E46" s="17">
        <f t="shared" si="0"/>
        <v>94000</v>
      </c>
    </row>
    <row r="47" spans="1:8" x14ac:dyDescent="0.35">
      <c r="A47" s="13">
        <v>43224</v>
      </c>
      <c r="B47" s="5" t="s">
        <v>512</v>
      </c>
      <c r="C47" s="5">
        <v>2</v>
      </c>
      <c r="D47" s="17">
        <v>48000</v>
      </c>
      <c r="E47" s="17">
        <f t="shared" si="0"/>
        <v>96000</v>
      </c>
    </row>
    <row r="48" spans="1:8" x14ac:dyDescent="0.35">
      <c r="A48" s="13">
        <v>43224</v>
      </c>
      <c r="B48" s="5" t="s">
        <v>513</v>
      </c>
      <c r="C48" s="5">
        <v>1</v>
      </c>
      <c r="D48" s="17">
        <v>13000</v>
      </c>
      <c r="E48" s="17">
        <f t="shared" si="0"/>
        <v>13000</v>
      </c>
    </row>
    <row r="49" spans="1:5" x14ac:dyDescent="0.35">
      <c r="A49" s="13">
        <v>43225</v>
      </c>
      <c r="E49" s="17">
        <f t="shared" si="0"/>
        <v>0</v>
      </c>
    </row>
    <row r="50" spans="1:5" x14ac:dyDescent="0.35">
      <c r="A50" s="13">
        <v>43225</v>
      </c>
      <c r="B50" s="5" t="s">
        <v>147</v>
      </c>
      <c r="C50" s="5">
        <v>1</v>
      </c>
      <c r="D50" s="17">
        <v>47000</v>
      </c>
      <c r="E50" s="17">
        <f t="shared" si="0"/>
        <v>47000</v>
      </c>
    </row>
    <row r="51" spans="1:5" x14ac:dyDescent="0.35">
      <c r="A51" s="13">
        <v>43225</v>
      </c>
      <c r="B51" s="5" t="s">
        <v>190</v>
      </c>
      <c r="C51" s="5">
        <v>14</v>
      </c>
      <c r="D51" s="17">
        <v>56000</v>
      </c>
      <c r="E51" s="17">
        <f t="shared" si="0"/>
        <v>784000</v>
      </c>
    </row>
    <row r="52" spans="1:5" x14ac:dyDescent="0.35">
      <c r="A52" s="13">
        <v>43225</v>
      </c>
      <c r="B52" s="5" t="s">
        <v>125</v>
      </c>
      <c r="C52" s="5">
        <v>2</v>
      </c>
      <c r="D52" s="17">
        <v>39000</v>
      </c>
      <c r="E52" s="17">
        <f t="shared" si="0"/>
        <v>78000</v>
      </c>
    </row>
    <row r="53" spans="1:5" x14ac:dyDescent="0.35">
      <c r="A53" s="13">
        <v>43225</v>
      </c>
      <c r="B53" s="5" t="s">
        <v>29</v>
      </c>
      <c r="C53" s="5">
        <v>5</v>
      </c>
      <c r="D53" s="17">
        <v>54000</v>
      </c>
      <c r="E53" s="17">
        <f t="shared" si="0"/>
        <v>270000</v>
      </c>
    </row>
    <row r="54" spans="1:5" x14ac:dyDescent="0.35">
      <c r="A54" s="13">
        <v>43225</v>
      </c>
      <c r="B54" s="5" t="s">
        <v>300</v>
      </c>
      <c r="C54" s="5">
        <v>10</v>
      </c>
      <c r="D54" s="17">
        <v>56000</v>
      </c>
      <c r="E54" s="17">
        <f t="shared" si="0"/>
        <v>560000</v>
      </c>
    </row>
    <row r="55" spans="1:5" x14ac:dyDescent="0.35">
      <c r="A55" s="13">
        <v>43225</v>
      </c>
      <c r="B55" s="5" t="s">
        <v>276</v>
      </c>
      <c r="C55" s="5">
        <v>7</v>
      </c>
      <c r="D55" s="17">
        <v>58000</v>
      </c>
      <c r="E55" s="17">
        <f t="shared" si="0"/>
        <v>406000</v>
      </c>
    </row>
    <row r="56" spans="1:5" x14ac:dyDescent="0.35">
      <c r="A56" s="13">
        <v>43225</v>
      </c>
      <c r="B56" s="5" t="s">
        <v>194</v>
      </c>
      <c r="C56" s="5">
        <v>9</v>
      </c>
      <c r="D56" s="17">
        <v>2000</v>
      </c>
      <c r="E56" s="17">
        <f t="shared" si="0"/>
        <v>18000</v>
      </c>
    </row>
    <row r="57" spans="1:5" x14ac:dyDescent="0.35">
      <c r="A57" s="13">
        <v>43225</v>
      </c>
      <c r="B57" s="5" t="s">
        <v>478</v>
      </c>
      <c r="C57" s="5">
        <v>1</v>
      </c>
      <c r="D57" s="17">
        <v>58000</v>
      </c>
      <c r="E57" s="17">
        <f t="shared" si="0"/>
        <v>58000</v>
      </c>
    </row>
    <row r="58" spans="1:5" x14ac:dyDescent="0.35">
      <c r="A58" s="13">
        <v>43225</v>
      </c>
      <c r="B58" s="5" t="s">
        <v>514</v>
      </c>
      <c r="C58" s="5">
        <v>4</v>
      </c>
      <c r="D58" s="17">
        <v>50000</v>
      </c>
      <c r="E58" s="17">
        <f t="shared" si="0"/>
        <v>200000</v>
      </c>
    </row>
    <row r="59" spans="1:5" x14ac:dyDescent="0.35">
      <c r="A59" s="13">
        <v>43225</v>
      </c>
      <c r="B59" s="5" t="s">
        <v>515</v>
      </c>
      <c r="C59" s="5">
        <v>3</v>
      </c>
      <c r="D59" s="17">
        <v>49000</v>
      </c>
      <c r="E59" s="17">
        <f t="shared" si="0"/>
        <v>147000</v>
      </c>
    </row>
    <row r="60" spans="1:5" x14ac:dyDescent="0.35">
      <c r="A60" s="13">
        <v>43225</v>
      </c>
      <c r="B60" s="5" t="s">
        <v>516</v>
      </c>
      <c r="C60" s="5">
        <v>28</v>
      </c>
      <c r="D60" s="17">
        <v>4000</v>
      </c>
      <c r="E60" s="17">
        <f t="shared" si="0"/>
        <v>112000</v>
      </c>
    </row>
    <row r="61" spans="1:5" x14ac:dyDescent="0.35">
      <c r="A61" s="13">
        <v>43225</v>
      </c>
      <c r="B61" s="5" t="s">
        <v>517</v>
      </c>
      <c r="C61" s="5">
        <v>1</v>
      </c>
      <c r="D61" s="17">
        <v>26000</v>
      </c>
      <c r="E61" s="17">
        <f t="shared" si="0"/>
        <v>26000</v>
      </c>
    </row>
    <row r="62" spans="1:5" x14ac:dyDescent="0.35">
      <c r="A62" s="13">
        <v>43225</v>
      </c>
      <c r="B62" s="5" t="s">
        <v>125</v>
      </c>
      <c r="C62" s="5">
        <v>1</v>
      </c>
      <c r="D62" s="17">
        <v>39000</v>
      </c>
      <c r="E62" s="17">
        <f t="shared" si="0"/>
        <v>39000</v>
      </c>
    </row>
    <row r="63" spans="1:5" x14ac:dyDescent="0.35">
      <c r="A63" s="13">
        <v>43225</v>
      </c>
      <c r="B63" s="5" t="s">
        <v>463</v>
      </c>
      <c r="C63" s="5">
        <v>2</v>
      </c>
      <c r="D63" s="17">
        <v>48000</v>
      </c>
      <c r="E63" s="17">
        <f t="shared" si="0"/>
        <v>96000</v>
      </c>
    </row>
    <row r="64" spans="1:5" x14ac:dyDescent="0.35">
      <c r="A64" s="13">
        <v>43227</v>
      </c>
      <c r="E64" s="17">
        <f t="shared" si="0"/>
        <v>0</v>
      </c>
    </row>
    <row r="65" spans="1:5" x14ac:dyDescent="0.35">
      <c r="A65" s="13">
        <v>43227</v>
      </c>
      <c r="B65" s="5" t="s">
        <v>60</v>
      </c>
      <c r="C65" s="5">
        <v>1</v>
      </c>
      <c r="D65" s="17">
        <v>54000</v>
      </c>
      <c r="E65" s="17">
        <f t="shared" si="0"/>
        <v>54000</v>
      </c>
    </row>
    <row r="66" spans="1:5" x14ac:dyDescent="0.35">
      <c r="A66" s="13">
        <v>43227</v>
      </c>
      <c r="B66" s="5" t="s">
        <v>69</v>
      </c>
      <c r="C66" s="5">
        <v>40</v>
      </c>
      <c r="D66" s="17">
        <v>44500</v>
      </c>
      <c r="E66" s="17">
        <f t="shared" si="0"/>
        <v>1780000</v>
      </c>
    </row>
    <row r="67" spans="1:5" x14ac:dyDescent="0.35">
      <c r="A67" s="13">
        <v>43227</v>
      </c>
      <c r="B67" s="5" t="s">
        <v>471</v>
      </c>
      <c r="C67" s="5">
        <v>5</v>
      </c>
      <c r="D67" s="17">
        <v>56000</v>
      </c>
      <c r="E67" s="17">
        <f t="shared" si="0"/>
        <v>280000</v>
      </c>
    </row>
    <row r="68" spans="1:5" x14ac:dyDescent="0.35">
      <c r="A68" s="13">
        <v>43227</v>
      </c>
      <c r="B68" s="5" t="s">
        <v>518</v>
      </c>
      <c r="C68" s="5">
        <v>20</v>
      </c>
      <c r="D68" s="17">
        <v>8500</v>
      </c>
      <c r="E68" s="17">
        <f t="shared" si="0"/>
        <v>170000</v>
      </c>
    </row>
    <row r="69" spans="1:5" x14ac:dyDescent="0.35">
      <c r="A69" s="13">
        <v>43227</v>
      </c>
      <c r="B69" s="5" t="s">
        <v>519</v>
      </c>
      <c r="C69" s="5">
        <v>13</v>
      </c>
      <c r="D69" s="17">
        <v>45000</v>
      </c>
      <c r="E69" s="17">
        <f t="shared" si="0"/>
        <v>585000</v>
      </c>
    </row>
    <row r="70" spans="1:5" x14ac:dyDescent="0.35">
      <c r="A70" s="13">
        <v>43227</v>
      </c>
      <c r="B70" s="5" t="s">
        <v>373</v>
      </c>
      <c r="C70" s="5">
        <v>6</v>
      </c>
      <c r="D70" s="17">
        <v>1500</v>
      </c>
      <c r="E70" s="17">
        <f t="shared" ref="E70:E133" si="1">D70*C70</f>
        <v>9000</v>
      </c>
    </row>
    <row r="71" spans="1:5" x14ac:dyDescent="0.35">
      <c r="A71" s="13">
        <v>43227</v>
      </c>
      <c r="B71" s="5" t="s">
        <v>520</v>
      </c>
      <c r="C71" s="5">
        <v>1</v>
      </c>
      <c r="D71" s="17">
        <v>50000</v>
      </c>
      <c r="E71" s="17">
        <f t="shared" si="1"/>
        <v>50000</v>
      </c>
    </row>
    <row r="72" spans="1:5" x14ac:dyDescent="0.35">
      <c r="A72" s="13">
        <v>43227</v>
      </c>
      <c r="B72" s="5" t="s">
        <v>32</v>
      </c>
      <c r="C72" s="5">
        <v>1</v>
      </c>
      <c r="D72" s="17">
        <v>43000</v>
      </c>
      <c r="E72" s="17">
        <f t="shared" si="1"/>
        <v>43000</v>
      </c>
    </row>
    <row r="73" spans="1:5" x14ac:dyDescent="0.35">
      <c r="A73" s="13">
        <v>43227</v>
      </c>
      <c r="B73" s="5" t="s">
        <v>43</v>
      </c>
      <c r="C73" s="5">
        <v>9</v>
      </c>
      <c r="D73" s="17">
        <v>43500</v>
      </c>
      <c r="E73" s="17">
        <f t="shared" si="1"/>
        <v>391500</v>
      </c>
    </row>
    <row r="74" spans="1:5" x14ac:dyDescent="0.35">
      <c r="A74" s="13">
        <v>43227</v>
      </c>
      <c r="B74" s="5" t="s">
        <v>32</v>
      </c>
      <c r="C74" s="5">
        <v>21</v>
      </c>
      <c r="D74" s="17">
        <v>43500</v>
      </c>
      <c r="E74" s="17">
        <f t="shared" si="1"/>
        <v>913500</v>
      </c>
    </row>
    <row r="75" spans="1:5" x14ac:dyDescent="0.35">
      <c r="A75" s="13">
        <v>43227</v>
      </c>
      <c r="B75" s="5" t="s">
        <v>429</v>
      </c>
      <c r="C75" s="5">
        <v>2</v>
      </c>
      <c r="D75" s="17">
        <v>96000</v>
      </c>
      <c r="E75" s="17">
        <f t="shared" si="1"/>
        <v>192000</v>
      </c>
    </row>
    <row r="76" spans="1:5" x14ac:dyDescent="0.35">
      <c r="A76" s="13">
        <v>43227</v>
      </c>
      <c r="B76" s="5" t="s">
        <v>521</v>
      </c>
      <c r="C76" s="5">
        <v>3</v>
      </c>
      <c r="D76" s="17">
        <v>10000</v>
      </c>
      <c r="E76" s="17">
        <f t="shared" si="1"/>
        <v>30000</v>
      </c>
    </row>
    <row r="77" spans="1:5" x14ac:dyDescent="0.35">
      <c r="A77" s="13">
        <v>43227</v>
      </c>
      <c r="B77" s="5" t="s">
        <v>38</v>
      </c>
      <c r="C77" s="5">
        <v>8</v>
      </c>
      <c r="D77" s="17">
        <v>49000</v>
      </c>
      <c r="E77" s="17">
        <f t="shared" si="1"/>
        <v>392000</v>
      </c>
    </row>
    <row r="78" spans="1:5" x14ac:dyDescent="0.35">
      <c r="A78" s="13">
        <v>43227</v>
      </c>
      <c r="B78" s="5" t="s">
        <v>224</v>
      </c>
      <c r="C78" s="5">
        <v>30</v>
      </c>
      <c r="D78" s="17">
        <v>53000</v>
      </c>
      <c r="E78" s="17">
        <f t="shared" si="1"/>
        <v>1590000</v>
      </c>
    </row>
    <row r="79" spans="1:5" x14ac:dyDescent="0.35">
      <c r="A79" s="13">
        <v>43227</v>
      </c>
      <c r="B79" s="5" t="s">
        <v>522</v>
      </c>
      <c r="C79" s="5">
        <v>24</v>
      </c>
      <c r="D79" s="17">
        <v>47000</v>
      </c>
      <c r="E79" s="17">
        <f t="shared" si="1"/>
        <v>1128000</v>
      </c>
    </row>
    <row r="80" spans="1:5" x14ac:dyDescent="0.35">
      <c r="A80" s="13">
        <v>43228</v>
      </c>
      <c r="E80" s="17">
        <f t="shared" si="1"/>
        <v>0</v>
      </c>
    </row>
    <row r="81" spans="1:5" x14ac:dyDescent="0.35">
      <c r="A81" s="13">
        <v>43228</v>
      </c>
      <c r="B81" s="5" t="s">
        <v>523</v>
      </c>
      <c r="C81" s="5">
        <v>2</v>
      </c>
      <c r="D81" s="17">
        <v>15000</v>
      </c>
      <c r="E81" s="17">
        <f t="shared" si="1"/>
        <v>30000</v>
      </c>
    </row>
    <row r="82" spans="1:5" x14ac:dyDescent="0.35">
      <c r="A82" s="13">
        <v>43228</v>
      </c>
      <c r="B82" s="5" t="s">
        <v>524</v>
      </c>
      <c r="C82" s="5">
        <v>2</v>
      </c>
      <c r="D82" s="17">
        <v>15000</v>
      </c>
      <c r="E82" s="17">
        <f t="shared" si="1"/>
        <v>30000</v>
      </c>
    </row>
    <row r="83" spans="1:5" x14ac:dyDescent="0.35">
      <c r="A83" s="13">
        <v>43228</v>
      </c>
      <c r="B83" s="5" t="s">
        <v>60</v>
      </c>
      <c r="C83" s="5">
        <v>2</v>
      </c>
      <c r="D83" s="17">
        <v>53000</v>
      </c>
      <c r="E83" s="17">
        <f t="shared" si="1"/>
        <v>106000</v>
      </c>
    </row>
    <row r="84" spans="1:5" x14ac:dyDescent="0.35">
      <c r="A84" s="13">
        <v>43228</v>
      </c>
      <c r="B84" s="5" t="s">
        <v>220</v>
      </c>
      <c r="C84" s="5">
        <v>1</v>
      </c>
      <c r="D84" s="17">
        <v>47000</v>
      </c>
      <c r="E84" s="17">
        <f t="shared" si="1"/>
        <v>47000</v>
      </c>
    </row>
    <row r="85" spans="1:5" x14ac:dyDescent="0.35">
      <c r="A85" s="13">
        <v>43228</v>
      </c>
      <c r="B85" s="5" t="s">
        <v>404</v>
      </c>
      <c r="C85" s="5">
        <v>13</v>
      </c>
      <c r="D85" s="17">
        <v>47000</v>
      </c>
      <c r="E85" s="17">
        <f t="shared" si="1"/>
        <v>611000</v>
      </c>
    </row>
    <row r="86" spans="1:5" x14ac:dyDescent="0.35">
      <c r="A86" s="13">
        <v>43228</v>
      </c>
      <c r="B86" s="5" t="s">
        <v>312</v>
      </c>
      <c r="C86" s="5">
        <v>2</v>
      </c>
      <c r="D86" s="17">
        <v>2500</v>
      </c>
      <c r="E86" s="17">
        <f t="shared" si="1"/>
        <v>5000</v>
      </c>
    </row>
    <row r="87" spans="1:5" x14ac:dyDescent="0.35">
      <c r="A87" s="13">
        <v>43228</v>
      </c>
      <c r="B87" s="5" t="s">
        <v>288</v>
      </c>
      <c r="C87" s="5">
        <v>1</v>
      </c>
      <c r="D87" s="17">
        <v>46000</v>
      </c>
      <c r="E87" s="17">
        <f t="shared" si="1"/>
        <v>46000</v>
      </c>
    </row>
    <row r="88" spans="1:5" x14ac:dyDescent="0.35">
      <c r="A88" s="13">
        <v>43228</v>
      </c>
      <c r="B88" s="5" t="s">
        <v>498</v>
      </c>
      <c r="C88" s="5">
        <v>5</v>
      </c>
      <c r="D88" s="17">
        <v>58000</v>
      </c>
      <c r="E88" s="17">
        <f t="shared" si="1"/>
        <v>290000</v>
      </c>
    </row>
    <row r="89" spans="1:5" x14ac:dyDescent="0.35">
      <c r="A89" s="13">
        <v>43228</v>
      </c>
      <c r="B89" s="5" t="s">
        <v>525</v>
      </c>
      <c r="C89" s="5">
        <v>45</v>
      </c>
      <c r="D89" s="17">
        <v>2000</v>
      </c>
      <c r="E89" s="17">
        <f t="shared" si="1"/>
        <v>90000</v>
      </c>
    </row>
    <row r="90" spans="1:5" x14ac:dyDescent="0.35">
      <c r="A90" s="13">
        <v>43228</v>
      </c>
      <c r="B90" s="5" t="s">
        <v>127</v>
      </c>
      <c r="C90" s="5">
        <v>15</v>
      </c>
      <c r="D90" s="17">
        <v>2000</v>
      </c>
      <c r="E90" s="17">
        <f t="shared" si="1"/>
        <v>30000</v>
      </c>
    </row>
    <row r="91" spans="1:5" x14ac:dyDescent="0.35">
      <c r="A91" s="13">
        <v>43228</v>
      </c>
      <c r="B91" s="5" t="s">
        <v>506</v>
      </c>
      <c r="C91" s="5">
        <v>60</v>
      </c>
      <c r="D91" s="17">
        <v>800</v>
      </c>
      <c r="E91" s="17">
        <f t="shared" si="1"/>
        <v>48000</v>
      </c>
    </row>
    <row r="92" spans="1:5" x14ac:dyDescent="0.35">
      <c r="A92" s="13">
        <v>43228</v>
      </c>
      <c r="B92" s="5" t="s">
        <v>526</v>
      </c>
      <c r="C92" s="5">
        <v>3</v>
      </c>
      <c r="D92" s="17">
        <v>60000</v>
      </c>
      <c r="E92" s="17">
        <f t="shared" si="1"/>
        <v>180000</v>
      </c>
    </row>
    <row r="93" spans="1:5" x14ac:dyDescent="0.35">
      <c r="A93" s="13">
        <v>43228</v>
      </c>
      <c r="B93" s="5" t="s">
        <v>419</v>
      </c>
      <c r="C93" s="5">
        <v>7</v>
      </c>
      <c r="D93" s="17">
        <v>56000</v>
      </c>
      <c r="E93" s="17">
        <f t="shared" si="1"/>
        <v>392000</v>
      </c>
    </row>
    <row r="94" spans="1:5" x14ac:dyDescent="0.35">
      <c r="A94" s="13">
        <v>43228</v>
      </c>
      <c r="B94" s="5" t="s">
        <v>527</v>
      </c>
      <c r="C94" s="5">
        <v>1</v>
      </c>
      <c r="D94" s="17">
        <v>98000</v>
      </c>
      <c r="E94" s="17">
        <f t="shared" si="1"/>
        <v>98000</v>
      </c>
    </row>
    <row r="95" spans="1:5" x14ac:dyDescent="0.35">
      <c r="A95" s="13">
        <v>43228</v>
      </c>
      <c r="B95" s="5" t="s">
        <v>145</v>
      </c>
      <c r="C95" s="5">
        <v>1</v>
      </c>
      <c r="D95" s="17">
        <v>150000</v>
      </c>
      <c r="E95" s="17">
        <f t="shared" si="1"/>
        <v>150000</v>
      </c>
    </row>
    <row r="96" spans="1:5" x14ac:dyDescent="0.35">
      <c r="A96" s="13">
        <v>43228</v>
      </c>
      <c r="B96" s="5" t="s">
        <v>419</v>
      </c>
      <c r="C96" s="5">
        <v>13</v>
      </c>
      <c r="D96" s="17">
        <v>56000</v>
      </c>
      <c r="E96" s="17">
        <f t="shared" si="1"/>
        <v>728000</v>
      </c>
    </row>
    <row r="97" spans="1:5" x14ac:dyDescent="0.35">
      <c r="A97" s="13">
        <v>43228</v>
      </c>
      <c r="B97" s="5" t="s">
        <v>528</v>
      </c>
      <c r="C97" s="5">
        <v>13</v>
      </c>
      <c r="D97" s="17">
        <v>8500</v>
      </c>
      <c r="E97" s="17">
        <f t="shared" si="1"/>
        <v>110500</v>
      </c>
    </row>
    <row r="98" spans="1:5" x14ac:dyDescent="0.35">
      <c r="A98" s="13">
        <v>43229</v>
      </c>
      <c r="E98" s="17">
        <f t="shared" si="1"/>
        <v>0</v>
      </c>
    </row>
    <row r="99" spans="1:5" x14ac:dyDescent="0.35">
      <c r="A99" s="13">
        <v>43229</v>
      </c>
      <c r="B99" s="5" t="s">
        <v>529</v>
      </c>
      <c r="C99" s="5">
        <v>16</v>
      </c>
      <c r="D99" s="17">
        <v>43500</v>
      </c>
      <c r="E99" s="17">
        <f t="shared" si="1"/>
        <v>696000</v>
      </c>
    </row>
    <row r="100" spans="1:5" x14ac:dyDescent="0.35">
      <c r="A100" s="13">
        <v>43229</v>
      </c>
      <c r="B100" s="5" t="s">
        <v>11</v>
      </c>
      <c r="C100" s="5">
        <v>4</v>
      </c>
      <c r="D100" s="17">
        <v>1600</v>
      </c>
      <c r="E100" s="17">
        <f t="shared" si="1"/>
        <v>6400</v>
      </c>
    </row>
    <row r="101" spans="1:5" x14ac:dyDescent="0.35">
      <c r="A101" s="13">
        <v>43229</v>
      </c>
      <c r="B101" s="5" t="s">
        <v>373</v>
      </c>
      <c r="C101" s="5">
        <v>52</v>
      </c>
      <c r="D101" s="17">
        <v>1500</v>
      </c>
      <c r="E101" s="17">
        <f t="shared" si="1"/>
        <v>78000</v>
      </c>
    </row>
    <row r="102" spans="1:5" x14ac:dyDescent="0.35">
      <c r="A102" s="13">
        <v>43229</v>
      </c>
      <c r="B102" s="5" t="s">
        <v>498</v>
      </c>
      <c r="C102" s="5">
        <v>10</v>
      </c>
      <c r="D102" s="17">
        <v>58000</v>
      </c>
      <c r="E102" s="17">
        <f t="shared" si="1"/>
        <v>580000</v>
      </c>
    </row>
    <row r="103" spans="1:5" x14ac:dyDescent="0.35">
      <c r="A103" s="13">
        <v>43229</v>
      </c>
      <c r="B103" s="5" t="s">
        <v>201</v>
      </c>
      <c r="C103" s="5">
        <v>12</v>
      </c>
      <c r="D103" s="17">
        <v>47000</v>
      </c>
      <c r="E103" s="17">
        <f t="shared" si="1"/>
        <v>564000</v>
      </c>
    </row>
    <row r="104" spans="1:5" x14ac:dyDescent="0.35">
      <c r="A104" s="13">
        <v>43229</v>
      </c>
      <c r="B104" s="5" t="s">
        <v>530</v>
      </c>
      <c r="C104" s="5">
        <v>5</v>
      </c>
      <c r="D104" s="17">
        <v>46000</v>
      </c>
      <c r="E104" s="17">
        <f t="shared" si="1"/>
        <v>230000</v>
      </c>
    </row>
    <row r="105" spans="1:5" x14ac:dyDescent="0.35">
      <c r="A105" s="13">
        <v>43229</v>
      </c>
      <c r="B105" s="5" t="s">
        <v>531</v>
      </c>
      <c r="C105" s="5">
        <v>60</v>
      </c>
      <c r="D105" s="17">
        <v>58000</v>
      </c>
      <c r="E105" s="17">
        <f t="shared" si="1"/>
        <v>3480000</v>
      </c>
    </row>
    <row r="106" spans="1:5" x14ac:dyDescent="0.35">
      <c r="A106" s="13">
        <v>43229</v>
      </c>
      <c r="B106" s="5" t="s">
        <v>404</v>
      </c>
      <c r="C106" s="5">
        <v>1</v>
      </c>
      <c r="D106" s="17">
        <v>47000</v>
      </c>
      <c r="E106" s="17">
        <f t="shared" si="1"/>
        <v>47000</v>
      </c>
    </row>
    <row r="107" spans="1:5" x14ac:dyDescent="0.35">
      <c r="A107" s="13">
        <v>43229</v>
      </c>
      <c r="B107" s="5" t="s">
        <v>80</v>
      </c>
      <c r="C107" s="5">
        <v>1</v>
      </c>
      <c r="D107" s="17">
        <v>13000</v>
      </c>
      <c r="E107" s="17">
        <f t="shared" si="1"/>
        <v>13000</v>
      </c>
    </row>
    <row r="108" spans="1:5" x14ac:dyDescent="0.35">
      <c r="A108" s="13">
        <v>43229</v>
      </c>
      <c r="B108" s="5" t="s">
        <v>303</v>
      </c>
      <c r="C108" s="5">
        <v>1</v>
      </c>
      <c r="D108" s="17">
        <v>56000</v>
      </c>
      <c r="E108" s="17">
        <f t="shared" si="1"/>
        <v>56000</v>
      </c>
    </row>
    <row r="109" spans="1:5" x14ac:dyDescent="0.35">
      <c r="A109" s="13">
        <v>43229</v>
      </c>
      <c r="B109" s="5" t="s">
        <v>152</v>
      </c>
      <c r="C109" s="5">
        <v>3</v>
      </c>
      <c r="D109" s="17">
        <v>55000</v>
      </c>
      <c r="E109" s="17">
        <f t="shared" si="1"/>
        <v>165000</v>
      </c>
    </row>
    <row r="110" spans="1:5" x14ac:dyDescent="0.35">
      <c r="A110" s="13">
        <v>43229</v>
      </c>
      <c r="B110" s="5" t="s">
        <v>140</v>
      </c>
      <c r="C110" s="5">
        <v>2</v>
      </c>
      <c r="D110" s="17">
        <v>55000</v>
      </c>
      <c r="E110" s="17">
        <f t="shared" si="1"/>
        <v>110000</v>
      </c>
    </row>
    <row r="111" spans="1:5" x14ac:dyDescent="0.35">
      <c r="A111" s="13">
        <v>43229</v>
      </c>
      <c r="B111" s="5" t="s">
        <v>27</v>
      </c>
      <c r="C111" s="5">
        <v>15</v>
      </c>
      <c r="D111" s="17">
        <v>1600</v>
      </c>
      <c r="E111" s="17">
        <f t="shared" si="1"/>
        <v>24000</v>
      </c>
    </row>
    <row r="112" spans="1:5" x14ac:dyDescent="0.35">
      <c r="A112" s="13">
        <v>43229</v>
      </c>
      <c r="B112" s="5" t="s">
        <v>532</v>
      </c>
      <c r="C112" s="5">
        <v>50</v>
      </c>
      <c r="D112" s="17">
        <v>4400</v>
      </c>
      <c r="E112" s="17">
        <f t="shared" si="1"/>
        <v>220000</v>
      </c>
    </row>
    <row r="113" spans="1:5" x14ac:dyDescent="0.35">
      <c r="A113" s="13">
        <v>43229</v>
      </c>
      <c r="B113" s="5" t="s">
        <v>169</v>
      </c>
      <c r="C113" s="5">
        <v>3</v>
      </c>
      <c r="D113" s="17">
        <v>57000</v>
      </c>
      <c r="E113" s="17">
        <f t="shared" si="1"/>
        <v>171000</v>
      </c>
    </row>
    <row r="114" spans="1:5" x14ac:dyDescent="0.35">
      <c r="A114" s="13">
        <v>43230</v>
      </c>
      <c r="E114" s="17">
        <f t="shared" si="1"/>
        <v>0</v>
      </c>
    </row>
    <row r="115" spans="1:5" x14ac:dyDescent="0.35">
      <c r="A115" s="13">
        <v>43230</v>
      </c>
      <c r="B115" s="5" t="s">
        <v>533</v>
      </c>
      <c r="C115" s="5">
        <v>4</v>
      </c>
      <c r="D115" s="17">
        <v>47000</v>
      </c>
      <c r="E115" s="17">
        <f t="shared" si="1"/>
        <v>188000</v>
      </c>
    </row>
    <row r="116" spans="1:5" x14ac:dyDescent="0.35">
      <c r="A116" s="13">
        <v>43230</v>
      </c>
      <c r="B116" s="5" t="s">
        <v>534</v>
      </c>
      <c r="C116" s="5">
        <v>7</v>
      </c>
      <c r="D116" s="17">
        <v>53000</v>
      </c>
      <c r="E116" s="17">
        <f t="shared" si="1"/>
        <v>371000</v>
      </c>
    </row>
    <row r="117" spans="1:5" x14ac:dyDescent="0.35">
      <c r="A117" s="13">
        <v>43230</v>
      </c>
      <c r="B117" s="5" t="s">
        <v>535</v>
      </c>
      <c r="C117" s="5">
        <v>2</v>
      </c>
      <c r="D117" s="17">
        <v>44000</v>
      </c>
      <c r="E117" s="17">
        <f t="shared" si="1"/>
        <v>88000</v>
      </c>
    </row>
    <row r="118" spans="1:5" x14ac:dyDescent="0.35">
      <c r="A118" s="13">
        <v>43230</v>
      </c>
      <c r="B118" s="5" t="s">
        <v>307</v>
      </c>
      <c r="C118" s="5">
        <v>4</v>
      </c>
      <c r="D118" s="17">
        <v>8000</v>
      </c>
      <c r="E118" s="17">
        <f t="shared" si="1"/>
        <v>32000</v>
      </c>
    </row>
    <row r="119" spans="1:5" x14ac:dyDescent="0.35">
      <c r="A119" s="13">
        <v>43230</v>
      </c>
      <c r="B119" s="5" t="s">
        <v>152</v>
      </c>
      <c r="C119" s="5">
        <v>1</v>
      </c>
      <c r="D119" s="17">
        <v>56000</v>
      </c>
      <c r="E119" s="17">
        <f t="shared" si="1"/>
        <v>56000</v>
      </c>
    </row>
    <row r="120" spans="1:5" x14ac:dyDescent="0.35">
      <c r="A120" s="13">
        <v>43230</v>
      </c>
      <c r="B120" s="5" t="s">
        <v>537</v>
      </c>
      <c r="C120" s="5">
        <v>1</v>
      </c>
      <c r="D120" s="17">
        <v>34000</v>
      </c>
      <c r="E120" s="17">
        <f t="shared" si="1"/>
        <v>34000</v>
      </c>
    </row>
    <row r="121" spans="1:5" x14ac:dyDescent="0.35">
      <c r="A121" s="13">
        <v>43230</v>
      </c>
      <c r="B121" s="5" t="s">
        <v>538</v>
      </c>
      <c r="C121" s="5">
        <v>17</v>
      </c>
      <c r="D121" s="17">
        <v>39000</v>
      </c>
      <c r="E121" s="17">
        <f t="shared" si="1"/>
        <v>663000</v>
      </c>
    </row>
    <row r="122" spans="1:5" x14ac:dyDescent="0.35">
      <c r="A122" s="13">
        <v>43231</v>
      </c>
      <c r="E122" s="17">
        <f t="shared" si="1"/>
        <v>0</v>
      </c>
    </row>
    <row r="123" spans="1:5" x14ac:dyDescent="0.35">
      <c r="A123" s="13">
        <v>43231</v>
      </c>
      <c r="B123" s="5" t="s">
        <v>220</v>
      </c>
      <c r="C123" s="5">
        <v>35</v>
      </c>
      <c r="D123" s="17">
        <v>46500</v>
      </c>
      <c r="E123" s="17">
        <f t="shared" si="1"/>
        <v>1627500</v>
      </c>
    </row>
    <row r="124" spans="1:5" x14ac:dyDescent="0.35">
      <c r="A124" s="13">
        <v>43231</v>
      </c>
      <c r="B124" s="5" t="s">
        <v>539</v>
      </c>
      <c r="C124" s="5">
        <v>10</v>
      </c>
      <c r="D124" s="17">
        <v>56500</v>
      </c>
      <c r="E124" s="17">
        <f t="shared" si="1"/>
        <v>565000</v>
      </c>
    </row>
    <row r="125" spans="1:5" x14ac:dyDescent="0.35">
      <c r="A125" s="13">
        <v>43231</v>
      </c>
      <c r="B125" s="5" t="s">
        <v>540</v>
      </c>
      <c r="C125" s="5">
        <v>7</v>
      </c>
      <c r="D125" s="17">
        <v>54000</v>
      </c>
      <c r="E125" s="17">
        <f t="shared" si="1"/>
        <v>378000</v>
      </c>
    </row>
    <row r="126" spans="1:5" x14ac:dyDescent="0.35">
      <c r="A126" s="13">
        <v>43231</v>
      </c>
      <c r="B126" s="5" t="s">
        <v>499</v>
      </c>
      <c r="C126" s="5">
        <v>3</v>
      </c>
      <c r="D126" s="17">
        <v>38000</v>
      </c>
      <c r="E126" s="17">
        <f t="shared" si="1"/>
        <v>114000</v>
      </c>
    </row>
    <row r="127" spans="1:5" x14ac:dyDescent="0.35">
      <c r="A127" s="13">
        <v>43231</v>
      </c>
      <c r="B127" s="5" t="s">
        <v>404</v>
      </c>
      <c r="C127" s="5">
        <v>73</v>
      </c>
      <c r="D127" s="17">
        <v>46000</v>
      </c>
      <c r="E127" s="17">
        <f t="shared" si="1"/>
        <v>3358000</v>
      </c>
    </row>
    <row r="128" spans="1:5" x14ac:dyDescent="0.35">
      <c r="A128" s="13">
        <v>43231</v>
      </c>
      <c r="B128" s="5" t="s">
        <v>24</v>
      </c>
      <c r="C128" s="5">
        <v>15</v>
      </c>
      <c r="D128" s="17">
        <v>58000</v>
      </c>
      <c r="E128" s="17">
        <f t="shared" si="1"/>
        <v>870000</v>
      </c>
    </row>
    <row r="129" spans="1:5" x14ac:dyDescent="0.35">
      <c r="A129" s="13">
        <v>43231</v>
      </c>
      <c r="B129" s="5" t="s">
        <v>60</v>
      </c>
      <c r="C129" s="5">
        <v>2</v>
      </c>
      <c r="D129" s="17">
        <v>54000</v>
      </c>
      <c r="E129" s="17">
        <f t="shared" si="1"/>
        <v>108000</v>
      </c>
    </row>
    <row r="130" spans="1:5" x14ac:dyDescent="0.35">
      <c r="A130" s="13">
        <v>43231</v>
      </c>
      <c r="B130" s="5" t="s">
        <v>29</v>
      </c>
      <c r="C130" s="5">
        <v>6</v>
      </c>
      <c r="D130" s="17">
        <v>54000</v>
      </c>
      <c r="E130" s="17">
        <f t="shared" si="1"/>
        <v>324000</v>
      </c>
    </row>
    <row r="131" spans="1:5" x14ac:dyDescent="0.35">
      <c r="A131" s="13">
        <v>43231</v>
      </c>
      <c r="B131" s="5" t="s">
        <v>178</v>
      </c>
      <c r="C131" s="5">
        <v>1</v>
      </c>
      <c r="D131" s="17">
        <v>48000</v>
      </c>
      <c r="E131" s="17">
        <f t="shared" si="1"/>
        <v>48000</v>
      </c>
    </row>
    <row r="132" spans="1:5" x14ac:dyDescent="0.35">
      <c r="A132" s="13">
        <v>43231</v>
      </c>
      <c r="B132" s="5" t="s">
        <v>168</v>
      </c>
      <c r="C132" s="5">
        <v>5</v>
      </c>
      <c r="D132" s="17">
        <v>1500</v>
      </c>
      <c r="E132" s="17">
        <f t="shared" si="1"/>
        <v>7500</v>
      </c>
    </row>
    <row r="133" spans="1:5" x14ac:dyDescent="0.35">
      <c r="A133" s="13">
        <v>43231</v>
      </c>
      <c r="B133" s="5" t="s">
        <v>5</v>
      </c>
      <c r="C133" s="5">
        <v>1</v>
      </c>
      <c r="D133" s="17">
        <v>13000</v>
      </c>
      <c r="E133" s="17">
        <f t="shared" si="1"/>
        <v>13000</v>
      </c>
    </row>
    <row r="134" spans="1:5" x14ac:dyDescent="0.35">
      <c r="A134" s="13">
        <v>43231</v>
      </c>
      <c r="B134" s="5" t="s">
        <v>276</v>
      </c>
      <c r="C134" s="5">
        <v>7</v>
      </c>
      <c r="D134" s="17">
        <v>57500</v>
      </c>
      <c r="E134" s="17">
        <f t="shared" ref="E134:E197" si="2">D134*C134</f>
        <v>402500</v>
      </c>
    </row>
    <row r="135" spans="1:5" x14ac:dyDescent="0.35">
      <c r="A135" s="13">
        <v>43231</v>
      </c>
      <c r="B135" s="5" t="s">
        <v>541</v>
      </c>
      <c r="C135" s="5">
        <v>30</v>
      </c>
      <c r="D135" s="17">
        <v>1500</v>
      </c>
      <c r="E135" s="17">
        <f t="shared" si="2"/>
        <v>45000</v>
      </c>
    </row>
    <row r="136" spans="1:5" x14ac:dyDescent="0.35">
      <c r="A136" s="13">
        <v>43231</v>
      </c>
      <c r="B136" s="5" t="s">
        <v>152</v>
      </c>
      <c r="C136" s="5">
        <v>1</v>
      </c>
      <c r="D136" s="17">
        <v>55000</v>
      </c>
      <c r="E136" s="17">
        <f t="shared" si="2"/>
        <v>55000</v>
      </c>
    </row>
    <row r="137" spans="1:5" x14ac:dyDescent="0.35">
      <c r="A137" s="13">
        <v>43232</v>
      </c>
      <c r="E137" s="17">
        <f t="shared" si="2"/>
        <v>0</v>
      </c>
    </row>
    <row r="138" spans="1:5" x14ac:dyDescent="0.35">
      <c r="A138" s="13">
        <v>43232</v>
      </c>
      <c r="B138" s="5" t="s">
        <v>542</v>
      </c>
      <c r="C138" s="5">
        <v>4</v>
      </c>
      <c r="D138" s="17">
        <v>46000</v>
      </c>
      <c r="E138" s="17">
        <f t="shared" si="2"/>
        <v>184000</v>
      </c>
    </row>
    <row r="139" spans="1:5" x14ac:dyDescent="0.35">
      <c r="A139" s="13">
        <v>43232</v>
      </c>
      <c r="B139" s="5" t="s">
        <v>25</v>
      </c>
      <c r="C139" s="5">
        <v>4</v>
      </c>
      <c r="D139" s="17">
        <v>53000</v>
      </c>
      <c r="E139" s="17">
        <f t="shared" si="2"/>
        <v>212000</v>
      </c>
    </row>
    <row r="140" spans="1:5" x14ac:dyDescent="0.35">
      <c r="A140" s="13">
        <v>43232</v>
      </c>
      <c r="B140" s="5" t="s">
        <v>478</v>
      </c>
      <c r="C140" s="5">
        <v>28</v>
      </c>
      <c r="D140" s="17">
        <v>58000</v>
      </c>
      <c r="E140" s="17">
        <f t="shared" si="2"/>
        <v>1624000</v>
      </c>
    </row>
    <row r="141" spans="1:5" x14ac:dyDescent="0.35">
      <c r="A141" s="13">
        <v>43232</v>
      </c>
      <c r="B141" s="5" t="s">
        <v>543</v>
      </c>
      <c r="C141" s="5">
        <v>1</v>
      </c>
      <c r="D141" s="17">
        <v>15000</v>
      </c>
      <c r="E141" s="17">
        <f t="shared" si="2"/>
        <v>15000</v>
      </c>
    </row>
    <row r="142" spans="1:5" x14ac:dyDescent="0.35">
      <c r="A142" s="13">
        <v>43232</v>
      </c>
      <c r="B142" s="5" t="s">
        <v>404</v>
      </c>
      <c r="C142" s="5">
        <v>2</v>
      </c>
      <c r="D142" s="17">
        <v>47000</v>
      </c>
      <c r="E142" s="17">
        <f t="shared" si="2"/>
        <v>94000</v>
      </c>
    </row>
    <row r="143" spans="1:5" x14ac:dyDescent="0.35">
      <c r="A143" s="13">
        <v>43232</v>
      </c>
      <c r="B143" s="5" t="s">
        <v>256</v>
      </c>
      <c r="C143" s="5">
        <v>20</v>
      </c>
      <c r="D143" s="17">
        <v>46000</v>
      </c>
      <c r="E143" s="17">
        <f t="shared" si="2"/>
        <v>920000</v>
      </c>
    </row>
    <row r="144" spans="1:5" x14ac:dyDescent="0.35">
      <c r="A144" s="13">
        <v>43232</v>
      </c>
      <c r="B144" s="5" t="s">
        <v>203</v>
      </c>
      <c r="C144" s="5">
        <v>5</v>
      </c>
      <c r="D144" s="17">
        <v>56000</v>
      </c>
      <c r="E144" s="17">
        <f t="shared" si="2"/>
        <v>280000</v>
      </c>
    </row>
    <row r="145" spans="1:5" x14ac:dyDescent="0.35">
      <c r="A145" s="13">
        <v>43232</v>
      </c>
      <c r="B145" s="5" t="s">
        <v>140</v>
      </c>
      <c r="C145" s="5">
        <v>10</v>
      </c>
      <c r="D145" s="17">
        <v>55000</v>
      </c>
      <c r="E145" s="17">
        <f t="shared" si="2"/>
        <v>550000</v>
      </c>
    </row>
    <row r="146" spans="1:5" x14ac:dyDescent="0.35">
      <c r="A146" s="13">
        <v>43232</v>
      </c>
      <c r="B146" s="5" t="s">
        <v>3</v>
      </c>
      <c r="C146" s="5">
        <v>4</v>
      </c>
      <c r="D146" s="17">
        <v>58000</v>
      </c>
      <c r="E146" s="17">
        <f t="shared" si="2"/>
        <v>232000</v>
      </c>
    </row>
    <row r="147" spans="1:5" x14ac:dyDescent="0.35">
      <c r="A147" s="13">
        <v>43232</v>
      </c>
      <c r="B147" s="5" t="s">
        <v>90</v>
      </c>
      <c r="C147" s="5">
        <v>3</v>
      </c>
      <c r="D147" s="17">
        <v>13000</v>
      </c>
      <c r="E147" s="17">
        <f t="shared" si="2"/>
        <v>39000</v>
      </c>
    </row>
    <row r="148" spans="1:5" x14ac:dyDescent="0.35">
      <c r="A148" s="13">
        <v>43232</v>
      </c>
      <c r="B148" s="5" t="s">
        <v>82</v>
      </c>
      <c r="C148" s="5">
        <v>65</v>
      </c>
      <c r="D148" s="17">
        <v>2000</v>
      </c>
      <c r="E148" s="17">
        <f t="shared" si="2"/>
        <v>130000</v>
      </c>
    </row>
    <row r="149" spans="1:5" x14ac:dyDescent="0.35">
      <c r="A149" s="13">
        <v>43232</v>
      </c>
      <c r="B149" s="5" t="s">
        <v>544</v>
      </c>
      <c r="C149" s="5">
        <v>1</v>
      </c>
      <c r="D149" s="17">
        <v>26000</v>
      </c>
      <c r="E149" s="17">
        <f t="shared" si="2"/>
        <v>26000</v>
      </c>
    </row>
    <row r="150" spans="1:5" x14ac:dyDescent="0.35">
      <c r="A150" s="13">
        <v>43232</v>
      </c>
      <c r="B150" s="5" t="s">
        <v>125</v>
      </c>
      <c r="C150" s="5">
        <v>2</v>
      </c>
      <c r="D150" s="17">
        <v>38000</v>
      </c>
      <c r="E150" s="17">
        <f t="shared" si="2"/>
        <v>76000</v>
      </c>
    </row>
    <row r="151" spans="1:5" x14ac:dyDescent="0.35">
      <c r="A151" s="13">
        <v>43232</v>
      </c>
      <c r="B151" s="5" t="s">
        <v>545</v>
      </c>
      <c r="C151" s="5">
        <v>1</v>
      </c>
      <c r="D151" s="17">
        <v>60000</v>
      </c>
      <c r="E151" s="17">
        <f t="shared" si="2"/>
        <v>60000</v>
      </c>
    </row>
    <row r="152" spans="1:5" x14ac:dyDescent="0.35">
      <c r="A152" s="13">
        <v>43234</v>
      </c>
      <c r="E152" s="17">
        <f t="shared" si="2"/>
        <v>0</v>
      </c>
    </row>
    <row r="153" spans="1:5" x14ac:dyDescent="0.35">
      <c r="A153" s="13">
        <v>43234</v>
      </c>
      <c r="B153" s="5" t="s">
        <v>203</v>
      </c>
      <c r="C153" s="5">
        <v>3</v>
      </c>
      <c r="D153" s="17">
        <v>56000</v>
      </c>
      <c r="E153" s="17">
        <f t="shared" si="2"/>
        <v>168000</v>
      </c>
    </row>
    <row r="154" spans="1:5" x14ac:dyDescent="0.35">
      <c r="A154" s="13">
        <v>43234</v>
      </c>
      <c r="B154" s="5" t="s">
        <v>276</v>
      </c>
      <c r="C154" s="5">
        <v>8</v>
      </c>
      <c r="D154" s="17">
        <v>57500</v>
      </c>
      <c r="E154" s="17">
        <f t="shared" si="2"/>
        <v>460000</v>
      </c>
    </row>
    <row r="155" spans="1:5" x14ac:dyDescent="0.35">
      <c r="A155" s="13">
        <v>43234</v>
      </c>
      <c r="B155" s="5" t="s">
        <v>478</v>
      </c>
      <c r="C155" s="5">
        <v>10</v>
      </c>
      <c r="D155" s="17">
        <v>58000</v>
      </c>
      <c r="E155" s="17">
        <f t="shared" si="2"/>
        <v>580000</v>
      </c>
    </row>
    <row r="156" spans="1:5" x14ac:dyDescent="0.35">
      <c r="A156" s="13">
        <v>43234</v>
      </c>
      <c r="B156" s="5" t="s">
        <v>125</v>
      </c>
      <c r="C156" s="5">
        <v>4</v>
      </c>
      <c r="D156" s="17">
        <v>39000</v>
      </c>
      <c r="E156" s="17">
        <f t="shared" si="2"/>
        <v>156000</v>
      </c>
    </row>
    <row r="157" spans="1:5" x14ac:dyDescent="0.35">
      <c r="A157" s="13">
        <v>43234</v>
      </c>
      <c r="B157" s="5" t="s">
        <v>478</v>
      </c>
      <c r="C157" s="5">
        <v>7</v>
      </c>
      <c r="D157" s="17">
        <v>58000</v>
      </c>
      <c r="E157" s="17">
        <f t="shared" si="2"/>
        <v>406000</v>
      </c>
    </row>
    <row r="158" spans="1:5" x14ac:dyDescent="0.35">
      <c r="A158" s="13">
        <v>43234</v>
      </c>
      <c r="B158" s="5" t="s">
        <v>92</v>
      </c>
      <c r="C158" s="5">
        <v>6</v>
      </c>
      <c r="D158" s="17">
        <v>1600</v>
      </c>
      <c r="E158" s="17">
        <f t="shared" si="2"/>
        <v>9600</v>
      </c>
    </row>
    <row r="159" spans="1:5" x14ac:dyDescent="0.35">
      <c r="A159" s="13">
        <v>43235</v>
      </c>
      <c r="E159" s="17">
        <f t="shared" si="2"/>
        <v>0</v>
      </c>
    </row>
    <row r="160" spans="1:5" x14ac:dyDescent="0.35">
      <c r="A160" s="13">
        <v>43235</v>
      </c>
      <c r="B160" s="5" t="s">
        <v>183</v>
      </c>
      <c r="C160" s="5">
        <v>2</v>
      </c>
      <c r="D160" s="17">
        <v>28500</v>
      </c>
      <c r="E160" s="17">
        <f t="shared" si="2"/>
        <v>57000</v>
      </c>
    </row>
    <row r="161" spans="1:5" x14ac:dyDescent="0.35">
      <c r="A161" s="13">
        <v>43235</v>
      </c>
      <c r="B161" s="5" t="s">
        <v>220</v>
      </c>
      <c r="C161" s="5">
        <v>4</v>
      </c>
      <c r="D161" s="17">
        <v>48000</v>
      </c>
      <c r="E161" s="17">
        <f t="shared" si="2"/>
        <v>192000</v>
      </c>
    </row>
    <row r="162" spans="1:5" x14ac:dyDescent="0.35">
      <c r="A162" s="13">
        <v>43235</v>
      </c>
      <c r="B162" s="5" t="s">
        <v>27</v>
      </c>
      <c r="C162" s="5">
        <v>18</v>
      </c>
      <c r="D162" s="17">
        <v>1600</v>
      </c>
      <c r="E162" s="17">
        <f t="shared" si="2"/>
        <v>28800</v>
      </c>
    </row>
    <row r="163" spans="1:5" x14ac:dyDescent="0.35">
      <c r="A163" s="13">
        <v>43235</v>
      </c>
      <c r="B163" s="5" t="s">
        <v>547</v>
      </c>
      <c r="C163" s="5">
        <v>17</v>
      </c>
      <c r="D163" s="17">
        <v>58000</v>
      </c>
      <c r="E163" s="17">
        <f t="shared" si="2"/>
        <v>986000</v>
      </c>
    </row>
    <row r="164" spans="1:5" x14ac:dyDescent="0.35">
      <c r="A164" s="13">
        <v>43235</v>
      </c>
      <c r="B164" s="5" t="s">
        <v>548</v>
      </c>
      <c r="C164" s="5">
        <v>1</v>
      </c>
      <c r="D164" s="17">
        <v>8000</v>
      </c>
      <c r="E164" s="17">
        <f t="shared" si="2"/>
        <v>8000</v>
      </c>
    </row>
    <row r="165" spans="1:5" x14ac:dyDescent="0.35">
      <c r="A165" s="13">
        <v>43235</v>
      </c>
      <c r="B165" s="5" t="s">
        <v>549</v>
      </c>
      <c r="C165" s="5">
        <v>28</v>
      </c>
      <c r="D165" s="17">
        <v>8214</v>
      </c>
      <c r="E165" s="17">
        <f t="shared" si="2"/>
        <v>229992</v>
      </c>
    </row>
    <row r="166" spans="1:5" x14ac:dyDescent="0.35">
      <c r="A166" s="13">
        <v>43235</v>
      </c>
      <c r="B166" s="5" t="s">
        <v>169</v>
      </c>
      <c r="C166" s="5">
        <v>1</v>
      </c>
      <c r="D166" s="17">
        <v>56000</v>
      </c>
      <c r="E166" s="17">
        <f t="shared" si="2"/>
        <v>56000</v>
      </c>
    </row>
    <row r="167" spans="1:5" x14ac:dyDescent="0.35">
      <c r="A167" s="13">
        <v>43235</v>
      </c>
      <c r="B167" s="5" t="s">
        <v>550</v>
      </c>
      <c r="C167" s="5">
        <v>1</v>
      </c>
      <c r="D167" s="17">
        <v>40000</v>
      </c>
      <c r="E167" s="17">
        <f t="shared" si="2"/>
        <v>40000</v>
      </c>
    </row>
    <row r="168" spans="1:5" x14ac:dyDescent="0.35">
      <c r="A168" s="13">
        <v>43235</v>
      </c>
      <c r="B168" s="5" t="s">
        <v>222</v>
      </c>
      <c r="C168" s="5">
        <v>4</v>
      </c>
      <c r="D168" s="17">
        <v>50000</v>
      </c>
      <c r="E168" s="17">
        <f t="shared" si="2"/>
        <v>200000</v>
      </c>
    </row>
    <row r="169" spans="1:5" x14ac:dyDescent="0.35">
      <c r="A169" s="13">
        <v>43235</v>
      </c>
      <c r="B169" s="5" t="s">
        <v>4</v>
      </c>
      <c r="C169" s="5">
        <v>20</v>
      </c>
      <c r="D169" s="17">
        <v>38500</v>
      </c>
      <c r="E169" s="17">
        <f t="shared" si="2"/>
        <v>770000</v>
      </c>
    </row>
    <row r="170" spans="1:5" x14ac:dyDescent="0.35">
      <c r="A170" s="13">
        <v>43235</v>
      </c>
      <c r="B170" s="5" t="s">
        <v>419</v>
      </c>
      <c r="C170" s="5">
        <v>3</v>
      </c>
      <c r="D170" s="17">
        <v>56000</v>
      </c>
      <c r="E170" s="17">
        <f t="shared" si="2"/>
        <v>168000</v>
      </c>
    </row>
    <row r="171" spans="1:5" x14ac:dyDescent="0.35">
      <c r="A171" s="13">
        <v>43235</v>
      </c>
      <c r="B171" s="5" t="s">
        <v>404</v>
      </c>
      <c r="C171" s="5">
        <v>5</v>
      </c>
      <c r="D171" s="17">
        <v>47000</v>
      </c>
      <c r="E171" s="17">
        <f t="shared" si="2"/>
        <v>235000</v>
      </c>
    </row>
    <row r="172" spans="1:5" x14ac:dyDescent="0.35">
      <c r="A172" s="13">
        <v>43236</v>
      </c>
      <c r="E172" s="17">
        <f t="shared" si="2"/>
        <v>0</v>
      </c>
    </row>
    <row r="173" spans="1:5" x14ac:dyDescent="0.35">
      <c r="A173" s="13">
        <v>43236</v>
      </c>
      <c r="B173" s="5" t="s">
        <v>422</v>
      </c>
      <c r="C173" s="5">
        <v>22</v>
      </c>
      <c r="D173" s="17">
        <v>45000</v>
      </c>
      <c r="E173" s="17">
        <f t="shared" si="2"/>
        <v>990000</v>
      </c>
    </row>
    <row r="174" spans="1:5" x14ac:dyDescent="0.35">
      <c r="A174" s="13">
        <v>43236</v>
      </c>
      <c r="B174" s="5" t="s">
        <v>168</v>
      </c>
      <c r="C174" s="5">
        <v>30</v>
      </c>
      <c r="D174" s="17">
        <v>1500</v>
      </c>
      <c r="E174" s="17">
        <f t="shared" si="2"/>
        <v>45000</v>
      </c>
    </row>
    <row r="175" spans="1:5" x14ac:dyDescent="0.35">
      <c r="A175" s="13">
        <v>43236</v>
      </c>
      <c r="B175" s="5" t="s">
        <v>3</v>
      </c>
      <c r="C175" s="5">
        <v>33</v>
      </c>
      <c r="D175" s="17">
        <v>57000</v>
      </c>
      <c r="E175" s="17">
        <f t="shared" si="2"/>
        <v>1881000</v>
      </c>
    </row>
    <row r="176" spans="1:5" x14ac:dyDescent="0.35">
      <c r="A176" s="13">
        <v>43236</v>
      </c>
      <c r="B176" s="5" t="s">
        <v>190</v>
      </c>
      <c r="C176" s="5">
        <v>10</v>
      </c>
      <c r="D176" s="17">
        <v>58000</v>
      </c>
      <c r="E176" s="17">
        <f t="shared" si="2"/>
        <v>580000</v>
      </c>
    </row>
    <row r="177" spans="1:5" x14ac:dyDescent="0.35">
      <c r="A177" s="13">
        <v>43236</v>
      </c>
      <c r="B177" s="5" t="s">
        <v>4</v>
      </c>
      <c r="C177" s="5">
        <v>7</v>
      </c>
      <c r="D177" s="17">
        <v>39000</v>
      </c>
      <c r="E177" s="17">
        <f t="shared" si="2"/>
        <v>273000</v>
      </c>
    </row>
    <row r="178" spans="1:5" x14ac:dyDescent="0.35">
      <c r="A178" s="13">
        <v>43236</v>
      </c>
      <c r="B178" s="5" t="s">
        <v>511</v>
      </c>
      <c r="C178" s="5">
        <v>11</v>
      </c>
      <c r="D178" s="17">
        <v>56000</v>
      </c>
      <c r="E178" s="17">
        <f t="shared" si="2"/>
        <v>616000</v>
      </c>
    </row>
    <row r="179" spans="1:5" x14ac:dyDescent="0.35">
      <c r="A179" s="13">
        <v>43236</v>
      </c>
      <c r="B179" s="5" t="s">
        <v>116</v>
      </c>
      <c r="C179" s="5">
        <v>4</v>
      </c>
      <c r="D179" s="17">
        <v>52000</v>
      </c>
      <c r="E179" s="17">
        <f t="shared" si="2"/>
        <v>208000</v>
      </c>
    </row>
    <row r="180" spans="1:5" x14ac:dyDescent="0.35">
      <c r="A180" s="13">
        <v>43236</v>
      </c>
      <c r="B180" s="5" t="s">
        <v>551</v>
      </c>
      <c r="C180" s="5">
        <v>1</v>
      </c>
      <c r="D180" s="17">
        <v>90000</v>
      </c>
      <c r="E180" s="17">
        <f t="shared" si="2"/>
        <v>90000</v>
      </c>
    </row>
    <row r="181" spans="1:5" x14ac:dyDescent="0.35">
      <c r="A181" s="13">
        <v>43236</v>
      </c>
      <c r="B181" s="5" t="s">
        <v>404</v>
      </c>
      <c r="C181" s="5">
        <v>8</v>
      </c>
      <c r="D181" s="17">
        <v>48000</v>
      </c>
      <c r="E181" s="17">
        <f t="shared" si="2"/>
        <v>384000</v>
      </c>
    </row>
    <row r="182" spans="1:5" x14ac:dyDescent="0.35">
      <c r="A182" s="13">
        <v>43236</v>
      </c>
      <c r="B182" s="5" t="s">
        <v>7</v>
      </c>
      <c r="C182" s="5">
        <v>21</v>
      </c>
      <c r="D182" s="17">
        <v>48000</v>
      </c>
      <c r="E182" s="17">
        <f t="shared" si="2"/>
        <v>1008000</v>
      </c>
    </row>
    <row r="183" spans="1:5" x14ac:dyDescent="0.35">
      <c r="A183" s="13">
        <v>43236</v>
      </c>
      <c r="B183" s="5" t="s">
        <v>529</v>
      </c>
      <c r="C183" s="5">
        <v>3</v>
      </c>
      <c r="D183" s="17">
        <v>43000</v>
      </c>
      <c r="E183" s="17">
        <f t="shared" si="2"/>
        <v>129000</v>
      </c>
    </row>
    <row r="184" spans="1:5" x14ac:dyDescent="0.35">
      <c r="A184" s="13">
        <v>43236</v>
      </c>
      <c r="B184" s="5" t="s">
        <v>552</v>
      </c>
      <c r="C184" s="5">
        <v>2</v>
      </c>
      <c r="D184" s="17">
        <v>46000</v>
      </c>
      <c r="E184" s="17">
        <f t="shared" si="2"/>
        <v>92000</v>
      </c>
    </row>
    <row r="185" spans="1:5" x14ac:dyDescent="0.35">
      <c r="A185" s="13">
        <v>43236</v>
      </c>
      <c r="B185" s="5" t="s">
        <v>543</v>
      </c>
      <c r="C185" s="5">
        <v>2</v>
      </c>
      <c r="D185" s="17">
        <v>15000</v>
      </c>
      <c r="E185" s="17">
        <f t="shared" si="2"/>
        <v>30000</v>
      </c>
    </row>
    <row r="186" spans="1:5" x14ac:dyDescent="0.35">
      <c r="A186" s="13">
        <v>43236</v>
      </c>
      <c r="B186" s="5" t="s">
        <v>553</v>
      </c>
      <c r="C186" s="5">
        <v>2</v>
      </c>
      <c r="D186" s="17">
        <v>50000</v>
      </c>
      <c r="E186" s="17">
        <f t="shared" si="2"/>
        <v>100000</v>
      </c>
    </row>
    <row r="187" spans="1:5" x14ac:dyDescent="0.35">
      <c r="A187" s="13">
        <v>43237</v>
      </c>
      <c r="E187" s="17">
        <f t="shared" si="2"/>
        <v>0</v>
      </c>
    </row>
    <row r="188" spans="1:5" x14ac:dyDescent="0.35">
      <c r="A188" s="13">
        <v>43237</v>
      </c>
      <c r="B188" s="5" t="s">
        <v>478</v>
      </c>
      <c r="C188" s="5">
        <v>11</v>
      </c>
      <c r="D188" s="17">
        <v>58000</v>
      </c>
      <c r="E188" s="17">
        <f t="shared" si="2"/>
        <v>638000</v>
      </c>
    </row>
    <row r="189" spans="1:5" x14ac:dyDescent="0.35">
      <c r="A189" s="13">
        <v>43237</v>
      </c>
      <c r="B189" s="5" t="s">
        <v>529</v>
      </c>
      <c r="C189" s="5">
        <v>13</v>
      </c>
      <c r="D189" s="17">
        <v>43500</v>
      </c>
      <c r="E189" s="17">
        <f t="shared" si="2"/>
        <v>565500</v>
      </c>
    </row>
    <row r="190" spans="1:5" x14ac:dyDescent="0.35">
      <c r="A190" s="13">
        <v>43237</v>
      </c>
      <c r="B190" s="5" t="s">
        <v>6</v>
      </c>
      <c r="C190" s="5">
        <v>28</v>
      </c>
      <c r="D190" s="17">
        <v>53000</v>
      </c>
      <c r="E190" s="17">
        <f t="shared" si="2"/>
        <v>1484000</v>
      </c>
    </row>
    <row r="191" spans="1:5" x14ac:dyDescent="0.35">
      <c r="A191" s="13">
        <v>43237</v>
      </c>
      <c r="B191" s="5" t="s">
        <v>9</v>
      </c>
      <c r="C191" s="5">
        <v>16</v>
      </c>
      <c r="D191" s="17">
        <v>58000</v>
      </c>
      <c r="E191" s="17">
        <f t="shared" si="2"/>
        <v>928000</v>
      </c>
    </row>
    <row r="192" spans="1:5" x14ac:dyDescent="0.35">
      <c r="A192" s="13">
        <v>43237</v>
      </c>
      <c r="B192" s="5" t="s">
        <v>25</v>
      </c>
      <c r="C192" s="5">
        <v>1</v>
      </c>
      <c r="D192" s="17">
        <v>53000</v>
      </c>
      <c r="E192" s="17">
        <f t="shared" si="2"/>
        <v>53000</v>
      </c>
    </row>
    <row r="193" spans="1:5" x14ac:dyDescent="0.35">
      <c r="A193" s="13">
        <v>43237</v>
      </c>
      <c r="B193" s="5" t="s">
        <v>554</v>
      </c>
      <c r="C193" s="5">
        <v>45</v>
      </c>
      <c r="D193" s="17">
        <v>8500</v>
      </c>
      <c r="E193" s="17">
        <f t="shared" si="2"/>
        <v>382500</v>
      </c>
    </row>
    <row r="194" spans="1:5" x14ac:dyDescent="0.35">
      <c r="A194" s="13">
        <v>43237</v>
      </c>
      <c r="B194" s="5" t="s">
        <v>555</v>
      </c>
      <c r="C194" s="5">
        <v>1</v>
      </c>
      <c r="D194" s="17">
        <v>15000</v>
      </c>
      <c r="E194" s="17">
        <f t="shared" si="2"/>
        <v>15000</v>
      </c>
    </row>
    <row r="195" spans="1:5" x14ac:dyDescent="0.35">
      <c r="A195" s="13">
        <v>43237</v>
      </c>
      <c r="B195" s="5" t="s">
        <v>556</v>
      </c>
      <c r="C195" s="5">
        <v>5</v>
      </c>
      <c r="D195" s="17">
        <v>56000</v>
      </c>
      <c r="E195" s="17">
        <f t="shared" si="2"/>
        <v>280000</v>
      </c>
    </row>
    <row r="196" spans="1:5" x14ac:dyDescent="0.35">
      <c r="A196" s="13">
        <v>43237</v>
      </c>
      <c r="B196" s="5" t="s">
        <v>326</v>
      </c>
      <c r="C196" s="5">
        <v>7</v>
      </c>
      <c r="D196" s="17">
        <v>56000</v>
      </c>
      <c r="E196" s="17">
        <f t="shared" si="2"/>
        <v>392000</v>
      </c>
    </row>
    <row r="197" spans="1:5" x14ac:dyDescent="0.35">
      <c r="A197" s="13">
        <v>43237</v>
      </c>
      <c r="B197" s="5" t="s">
        <v>557</v>
      </c>
      <c r="C197" s="5">
        <v>16</v>
      </c>
      <c r="D197" s="17">
        <v>8500</v>
      </c>
      <c r="E197" s="17">
        <f t="shared" si="2"/>
        <v>136000</v>
      </c>
    </row>
    <row r="198" spans="1:5" x14ac:dyDescent="0.35">
      <c r="A198" s="13">
        <v>43237</v>
      </c>
      <c r="B198" s="5" t="s">
        <v>81</v>
      </c>
      <c r="C198" s="5">
        <v>6</v>
      </c>
      <c r="D198" s="17">
        <v>47000</v>
      </c>
      <c r="E198" s="17">
        <f t="shared" ref="E198:E261" si="3">D198*C198</f>
        <v>282000</v>
      </c>
    </row>
    <row r="199" spans="1:5" x14ac:dyDescent="0.35">
      <c r="A199" s="13">
        <v>43237</v>
      </c>
      <c r="B199" s="5" t="s">
        <v>215</v>
      </c>
      <c r="C199" s="5">
        <v>3</v>
      </c>
      <c r="D199" s="17">
        <v>47000</v>
      </c>
      <c r="E199" s="17">
        <f t="shared" si="3"/>
        <v>141000</v>
      </c>
    </row>
    <row r="200" spans="1:5" x14ac:dyDescent="0.35">
      <c r="A200" s="13">
        <v>43237</v>
      </c>
      <c r="B200" s="5" t="s">
        <v>558</v>
      </c>
      <c r="C200" s="5">
        <v>1</v>
      </c>
      <c r="D200" s="17">
        <v>180000</v>
      </c>
      <c r="E200" s="17">
        <f t="shared" si="3"/>
        <v>180000</v>
      </c>
    </row>
    <row r="201" spans="1:5" x14ac:dyDescent="0.35">
      <c r="A201" s="13">
        <v>43237</v>
      </c>
      <c r="B201" s="5" t="s">
        <v>559</v>
      </c>
      <c r="C201" s="5">
        <v>10</v>
      </c>
      <c r="D201" s="17">
        <v>58000</v>
      </c>
      <c r="E201" s="17">
        <f t="shared" si="3"/>
        <v>580000</v>
      </c>
    </row>
    <row r="202" spans="1:5" x14ac:dyDescent="0.35">
      <c r="A202" s="13">
        <v>43237</v>
      </c>
      <c r="B202" s="5" t="s">
        <v>547</v>
      </c>
      <c r="C202" s="5">
        <v>2</v>
      </c>
      <c r="D202" s="17">
        <v>58000</v>
      </c>
      <c r="E202" s="17">
        <f t="shared" si="3"/>
        <v>116000</v>
      </c>
    </row>
    <row r="203" spans="1:5" x14ac:dyDescent="0.35">
      <c r="A203" s="13">
        <v>43237</v>
      </c>
      <c r="B203" s="5" t="s">
        <v>560</v>
      </c>
      <c r="C203" s="5">
        <v>5</v>
      </c>
      <c r="D203" s="17">
        <v>1600</v>
      </c>
      <c r="E203" s="17">
        <f t="shared" si="3"/>
        <v>8000</v>
      </c>
    </row>
    <row r="204" spans="1:5" x14ac:dyDescent="0.35">
      <c r="A204" s="13">
        <v>43237</v>
      </c>
      <c r="B204" s="5" t="s">
        <v>109</v>
      </c>
      <c r="C204" s="5">
        <v>22</v>
      </c>
      <c r="D204" s="17">
        <v>39000</v>
      </c>
      <c r="E204" s="17">
        <f t="shared" si="3"/>
        <v>858000</v>
      </c>
    </row>
    <row r="205" spans="1:5" x14ac:dyDescent="0.35">
      <c r="A205" s="13">
        <v>43238</v>
      </c>
      <c r="E205" s="17">
        <f t="shared" si="3"/>
        <v>0</v>
      </c>
    </row>
    <row r="206" spans="1:5" x14ac:dyDescent="0.35">
      <c r="A206" s="13">
        <v>43238</v>
      </c>
      <c r="B206" s="5" t="s">
        <v>564</v>
      </c>
      <c r="C206" s="5">
        <v>1</v>
      </c>
      <c r="D206" s="17">
        <v>15000</v>
      </c>
      <c r="E206" s="17">
        <f t="shared" si="3"/>
        <v>15000</v>
      </c>
    </row>
    <row r="207" spans="1:5" x14ac:dyDescent="0.35">
      <c r="A207" s="13">
        <v>43238</v>
      </c>
      <c r="B207" s="5" t="s">
        <v>85</v>
      </c>
      <c r="C207" s="5">
        <v>8</v>
      </c>
      <c r="D207" s="17">
        <v>45000</v>
      </c>
      <c r="E207" s="17">
        <f t="shared" si="3"/>
        <v>360000</v>
      </c>
    </row>
    <row r="208" spans="1:5" x14ac:dyDescent="0.35">
      <c r="A208" s="13">
        <v>43238</v>
      </c>
      <c r="B208" s="5" t="s">
        <v>168</v>
      </c>
      <c r="C208" s="5">
        <v>40</v>
      </c>
      <c r="D208" s="17">
        <v>1500</v>
      </c>
      <c r="E208" s="17">
        <f t="shared" si="3"/>
        <v>60000</v>
      </c>
    </row>
    <row r="209" spans="1:5" x14ac:dyDescent="0.35">
      <c r="A209" s="13">
        <v>43238</v>
      </c>
      <c r="B209" s="5" t="s">
        <v>563</v>
      </c>
      <c r="C209" s="5">
        <v>50</v>
      </c>
      <c r="D209" s="17">
        <v>4000</v>
      </c>
      <c r="E209" s="17">
        <f t="shared" si="3"/>
        <v>200000</v>
      </c>
    </row>
    <row r="210" spans="1:5" x14ac:dyDescent="0.35">
      <c r="A210" s="13">
        <v>43238</v>
      </c>
      <c r="B210" s="5" t="s">
        <v>562</v>
      </c>
      <c r="C210" s="5">
        <v>7</v>
      </c>
      <c r="D210" s="17">
        <v>10000</v>
      </c>
      <c r="E210" s="17">
        <f t="shared" si="3"/>
        <v>70000</v>
      </c>
    </row>
    <row r="211" spans="1:5" x14ac:dyDescent="0.35">
      <c r="A211" s="13">
        <v>43238</v>
      </c>
      <c r="B211" s="5" t="s">
        <v>224</v>
      </c>
      <c r="C211" s="5">
        <v>6</v>
      </c>
      <c r="D211" s="17">
        <v>53000</v>
      </c>
      <c r="E211" s="17">
        <f t="shared" si="3"/>
        <v>318000</v>
      </c>
    </row>
    <row r="212" spans="1:5" x14ac:dyDescent="0.35">
      <c r="A212" s="13">
        <v>43238</v>
      </c>
      <c r="B212" s="5" t="s">
        <v>57</v>
      </c>
      <c r="C212" s="5">
        <v>1</v>
      </c>
      <c r="D212" s="17">
        <v>36000</v>
      </c>
      <c r="E212" s="17">
        <f t="shared" si="3"/>
        <v>36000</v>
      </c>
    </row>
    <row r="213" spans="1:5" x14ac:dyDescent="0.35">
      <c r="A213" s="13">
        <v>43238</v>
      </c>
      <c r="B213" s="5" t="s">
        <v>72</v>
      </c>
      <c r="C213" s="5">
        <v>1</v>
      </c>
      <c r="D213" s="17">
        <v>47000</v>
      </c>
      <c r="E213" s="17">
        <f t="shared" si="3"/>
        <v>47000</v>
      </c>
    </row>
    <row r="214" spans="1:5" x14ac:dyDescent="0.35">
      <c r="A214" s="13">
        <v>43238</v>
      </c>
      <c r="B214" s="5" t="s">
        <v>561</v>
      </c>
      <c r="C214" s="5">
        <v>2</v>
      </c>
      <c r="D214" s="17">
        <v>46000</v>
      </c>
      <c r="E214" s="17">
        <f t="shared" si="3"/>
        <v>92000</v>
      </c>
    </row>
    <row r="215" spans="1:5" x14ac:dyDescent="0.35">
      <c r="A215" s="13">
        <v>43238</v>
      </c>
      <c r="B215" s="5" t="s">
        <v>125</v>
      </c>
      <c r="C215" s="5">
        <v>1</v>
      </c>
      <c r="D215" s="17">
        <v>39000</v>
      </c>
      <c r="E215" s="17">
        <f t="shared" si="3"/>
        <v>39000</v>
      </c>
    </row>
    <row r="216" spans="1:5" x14ac:dyDescent="0.35">
      <c r="A216" s="13">
        <v>43239</v>
      </c>
      <c r="E216" s="17">
        <f t="shared" si="3"/>
        <v>0</v>
      </c>
    </row>
    <row r="217" spans="1:5" x14ac:dyDescent="0.35">
      <c r="A217" s="13">
        <v>43239</v>
      </c>
      <c r="B217" s="5" t="s">
        <v>553</v>
      </c>
      <c r="C217" s="5">
        <v>1</v>
      </c>
      <c r="D217" s="17">
        <v>50000</v>
      </c>
      <c r="E217" s="17">
        <f t="shared" si="3"/>
        <v>50000</v>
      </c>
    </row>
    <row r="218" spans="1:5" x14ac:dyDescent="0.35">
      <c r="A218" s="13">
        <v>43239</v>
      </c>
      <c r="B218" s="5" t="s">
        <v>190</v>
      </c>
      <c r="C218" s="5">
        <v>1</v>
      </c>
      <c r="D218" s="17">
        <v>58000</v>
      </c>
      <c r="E218" s="17">
        <f t="shared" si="3"/>
        <v>58000</v>
      </c>
    </row>
    <row r="219" spans="1:5" x14ac:dyDescent="0.35">
      <c r="A219" s="13">
        <v>43239</v>
      </c>
      <c r="B219" s="5" t="s">
        <v>404</v>
      </c>
      <c r="C219" s="5">
        <v>5</v>
      </c>
      <c r="D219" s="17">
        <v>47000</v>
      </c>
      <c r="E219" s="17">
        <f t="shared" si="3"/>
        <v>235000</v>
      </c>
    </row>
    <row r="220" spans="1:5" x14ac:dyDescent="0.35">
      <c r="A220" s="13">
        <v>43239</v>
      </c>
      <c r="B220" s="5" t="s">
        <v>7</v>
      </c>
      <c r="C220" s="5">
        <v>2</v>
      </c>
      <c r="D220" s="17">
        <v>48000</v>
      </c>
      <c r="E220" s="17">
        <f t="shared" si="3"/>
        <v>96000</v>
      </c>
    </row>
    <row r="221" spans="1:5" x14ac:dyDescent="0.35">
      <c r="A221" s="13">
        <v>43239</v>
      </c>
      <c r="B221" s="5" t="s">
        <v>404</v>
      </c>
      <c r="C221" s="5">
        <v>4</v>
      </c>
      <c r="D221" s="17">
        <v>48000</v>
      </c>
      <c r="E221" s="17">
        <f t="shared" si="3"/>
        <v>192000</v>
      </c>
    </row>
    <row r="222" spans="1:5" x14ac:dyDescent="0.35">
      <c r="A222" s="13">
        <v>43239</v>
      </c>
      <c r="B222" s="5" t="s">
        <v>201</v>
      </c>
      <c r="C222" s="5">
        <v>3</v>
      </c>
      <c r="D222" s="17">
        <v>47000</v>
      </c>
      <c r="E222" s="17">
        <f t="shared" si="3"/>
        <v>141000</v>
      </c>
    </row>
    <row r="223" spans="1:5" x14ac:dyDescent="0.35">
      <c r="A223" s="13">
        <v>43239</v>
      </c>
      <c r="B223" s="5" t="s">
        <v>529</v>
      </c>
      <c r="C223" s="5">
        <v>6</v>
      </c>
      <c r="D223" s="17">
        <v>43500</v>
      </c>
      <c r="E223" s="17">
        <f t="shared" si="3"/>
        <v>261000</v>
      </c>
    </row>
    <row r="224" spans="1:5" x14ac:dyDescent="0.35">
      <c r="A224" s="13">
        <v>43239</v>
      </c>
      <c r="B224" s="5" t="s">
        <v>92</v>
      </c>
      <c r="C224" s="5">
        <v>22</v>
      </c>
      <c r="D224" s="17">
        <v>1600</v>
      </c>
      <c r="E224" s="17">
        <f t="shared" si="3"/>
        <v>35200</v>
      </c>
    </row>
    <row r="225" spans="1:5" x14ac:dyDescent="0.35">
      <c r="A225" s="13">
        <v>43241</v>
      </c>
      <c r="E225" s="17">
        <f t="shared" si="3"/>
        <v>0</v>
      </c>
    </row>
    <row r="226" spans="1:5" x14ac:dyDescent="0.35">
      <c r="A226" s="13">
        <v>43241</v>
      </c>
      <c r="B226" s="5" t="s">
        <v>326</v>
      </c>
      <c r="C226" s="5">
        <v>3</v>
      </c>
      <c r="D226" s="17">
        <v>55000</v>
      </c>
      <c r="E226" s="17">
        <f t="shared" si="3"/>
        <v>165000</v>
      </c>
    </row>
    <row r="227" spans="1:5" x14ac:dyDescent="0.35">
      <c r="A227" s="13">
        <v>43241</v>
      </c>
      <c r="B227" s="5" t="s">
        <v>136</v>
      </c>
      <c r="C227" s="5">
        <v>24</v>
      </c>
      <c r="D227" s="17">
        <v>56000</v>
      </c>
      <c r="E227" s="17">
        <f t="shared" si="3"/>
        <v>1344000</v>
      </c>
    </row>
    <row r="228" spans="1:5" x14ac:dyDescent="0.35">
      <c r="A228" s="13">
        <v>43241</v>
      </c>
      <c r="B228" s="5" t="s">
        <v>4</v>
      </c>
      <c r="C228" s="5">
        <v>12</v>
      </c>
      <c r="D228" s="17">
        <v>39000</v>
      </c>
      <c r="E228" s="17">
        <f t="shared" si="3"/>
        <v>468000</v>
      </c>
    </row>
    <row r="229" spans="1:5" x14ac:dyDescent="0.35">
      <c r="A229" s="13">
        <v>43241</v>
      </c>
      <c r="B229" s="5" t="s">
        <v>498</v>
      </c>
      <c r="C229" s="5">
        <v>13</v>
      </c>
      <c r="D229" s="17">
        <v>57500</v>
      </c>
      <c r="E229" s="17">
        <f t="shared" si="3"/>
        <v>747500</v>
      </c>
    </row>
    <row r="230" spans="1:5" x14ac:dyDescent="0.35">
      <c r="A230" s="13">
        <v>43241</v>
      </c>
      <c r="B230" s="5" t="s">
        <v>161</v>
      </c>
      <c r="C230" s="5">
        <v>4</v>
      </c>
      <c r="D230" s="17">
        <v>49000</v>
      </c>
      <c r="E230" s="17">
        <f t="shared" si="3"/>
        <v>196000</v>
      </c>
    </row>
    <row r="231" spans="1:5" x14ac:dyDescent="0.35">
      <c r="A231" s="13">
        <v>43241</v>
      </c>
      <c r="B231" s="5" t="s">
        <v>318</v>
      </c>
      <c r="C231" s="5">
        <v>75</v>
      </c>
      <c r="D231" s="17">
        <v>44000</v>
      </c>
      <c r="E231" s="17">
        <f t="shared" si="3"/>
        <v>3300000</v>
      </c>
    </row>
    <row r="232" spans="1:5" x14ac:dyDescent="0.35">
      <c r="A232" s="13">
        <v>43241</v>
      </c>
      <c r="B232" s="5" t="s">
        <v>225</v>
      </c>
      <c r="C232" s="5">
        <v>14</v>
      </c>
      <c r="D232" s="17">
        <v>55000</v>
      </c>
      <c r="E232" s="17">
        <f t="shared" si="3"/>
        <v>770000</v>
      </c>
    </row>
    <row r="233" spans="1:5" x14ac:dyDescent="0.35">
      <c r="A233" s="13">
        <v>43241</v>
      </c>
      <c r="B233" s="5" t="s">
        <v>404</v>
      </c>
      <c r="C233" s="5">
        <v>5</v>
      </c>
      <c r="D233" s="17">
        <v>48000</v>
      </c>
      <c r="E233" s="17">
        <f t="shared" si="3"/>
        <v>240000</v>
      </c>
    </row>
    <row r="234" spans="1:5" x14ac:dyDescent="0.35">
      <c r="A234" s="13">
        <v>43241</v>
      </c>
      <c r="B234" s="5" t="s">
        <v>203</v>
      </c>
      <c r="C234" s="5">
        <v>1</v>
      </c>
      <c r="D234" s="17">
        <v>55000</v>
      </c>
      <c r="E234" s="17">
        <f t="shared" si="3"/>
        <v>55000</v>
      </c>
    </row>
    <row r="235" spans="1:5" x14ac:dyDescent="0.35">
      <c r="A235" s="13">
        <v>43241</v>
      </c>
      <c r="B235" s="5" t="s">
        <v>563</v>
      </c>
      <c r="C235" s="5">
        <v>8</v>
      </c>
      <c r="D235" s="17">
        <v>4000</v>
      </c>
      <c r="E235" s="17">
        <f t="shared" si="3"/>
        <v>32000</v>
      </c>
    </row>
    <row r="236" spans="1:5" x14ac:dyDescent="0.35">
      <c r="A236" s="13">
        <v>43241</v>
      </c>
      <c r="B236" s="5" t="s">
        <v>9</v>
      </c>
      <c r="C236" s="5">
        <v>3</v>
      </c>
      <c r="D236" s="17">
        <v>58000</v>
      </c>
      <c r="E236" s="17">
        <f t="shared" si="3"/>
        <v>174000</v>
      </c>
    </row>
    <row r="237" spans="1:5" x14ac:dyDescent="0.35">
      <c r="A237" s="13">
        <v>43241</v>
      </c>
      <c r="B237" s="5" t="s">
        <v>44</v>
      </c>
      <c r="C237" s="5">
        <v>1</v>
      </c>
      <c r="D237" s="17">
        <v>54000</v>
      </c>
      <c r="E237" s="17">
        <f t="shared" si="3"/>
        <v>54000</v>
      </c>
    </row>
    <row r="238" spans="1:5" x14ac:dyDescent="0.35">
      <c r="A238" s="13">
        <v>43241</v>
      </c>
      <c r="B238" s="5" t="s">
        <v>125</v>
      </c>
      <c r="C238" s="5">
        <v>1</v>
      </c>
      <c r="D238" s="17">
        <v>39000</v>
      </c>
      <c r="E238" s="17">
        <f t="shared" si="3"/>
        <v>39000</v>
      </c>
    </row>
    <row r="239" spans="1:5" x14ac:dyDescent="0.35">
      <c r="A239" s="13">
        <v>43242</v>
      </c>
      <c r="E239" s="17">
        <f t="shared" si="3"/>
        <v>0</v>
      </c>
    </row>
    <row r="240" spans="1:5" x14ac:dyDescent="0.35">
      <c r="A240" s="13">
        <v>43242</v>
      </c>
      <c r="B240" s="5" t="s">
        <v>565</v>
      </c>
      <c r="C240" s="5">
        <v>4</v>
      </c>
      <c r="D240" s="17">
        <v>10000</v>
      </c>
      <c r="E240" s="17">
        <f t="shared" si="3"/>
        <v>40000</v>
      </c>
    </row>
    <row r="241" spans="1:5" x14ac:dyDescent="0.35">
      <c r="A241" s="13">
        <v>43242</v>
      </c>
      <c r="B241" s="5" t="s">
        <v>479</v>
      </c>
      <c r="C241" s="5">
        <v>3</v>
      </c>
      <c r="D241" s="17">
        <v>54000</v>
      </c>
      <c r="E241" s="17">
        <f t="shared" si="3"/>
        <v>162000</v>
      </c>
    </row>
    <row r="242" spans="1:5" x14ac:dyDescent="0.35">
      <c r="A242" s="13">
        <v>43242</v>
      </c>
      <c r="B242" s="5" t="s">
        <v>404</v>
      </c>
      <c r="C242" s="5">
        <v>1</v>
      </c>
      <c r="D242" s="17">
        <v>48000</v>
      </c>
      <c r="E242" s="17">
        <f t="shared" si="3"/>
        <v>48000</v>
      </c>
    </row>
    <row r="243" spans="1:5" x14ac:dyDescent="0.35">
      <c r="A243" s="13">
        <v>43242</v>
      </c>
      <c r="B243" s="5" t="s">
        <v>92</v>
      </c>
      <c r="C243" s="5">
        <v>45</v>
      </c>
      <c r="D243" s="17">
        <v>1500</v>
      </c>
      <c r="E243" s="17">
        <f t="shared" si="3"/>
        <v>67500</v>
      </c>
    </row>
    <row r="244" spans="1:5" x14ac:dyDescent="0.35">
      <c r="A244" s="13">
        <v>43242</v>
      </c>
      <c r="B244" s="5" t="s">
        <v>478</v>
      </c>
      <c r="C244" s="5">
        <v>2</v>
      </c>
      <c r="D244" s="17">
        <v>58000</v>
      </c>
      <c r="E244" s="17">
        <f t="shared" si="3"/>
        <v>116000</v>
      </c>
    </row>
    <row r="245" spans="1:5" x14ac:dyDescent="0.35">
      <c r="A245" s="13">
        <v>43242</v>
      </c>
      <c r="B245" s="5" t="s">
        <v>183</v>
      </c>
      <c r="C245" s="5">
        <v>1</v>
      </c>
      <c r="D245" s="17">
        <v>28000</v>
      </c>
      <c r="E245" s="17">
        <f t="shared" si="3"/>
        <v>28000</v>
      </c>
    </row>
    <row r="246" spans="1:5" x14ac:dyDescent="0.35">
      <c r="A246" s="13">
        <v>43242</v>
      </c>
      <c r="B246" s="5" t="s">
        <v>210</v>
      </c>
      <c r="C246" s="5">
        <v>1</v>
      </c>
      <c r="D246" s="17">
        <v>55000</v>
      </c>
      <c r="E246" s="17">
        <f t="shared" si="3"/>
        <v>55000</v>
      </c>
    </row>
    <row r="247" spans="1:5" x14ac:dyDescent="0.35">
      <c r="A247" s="13">
        <v>43242</v>
      </c>
      <c r="B247" s="5" t="s">
        <v>220</v>
      </c>
      <c r="C247" s="5">
        <v>2</v>
      </c>
      <c r="D247" s="17">
        <v>48000</v>
      </c>
      <c r="E247" s="17">
        <f t="shared" si="3"/>
        <v>96000</v>
      </c>
    </row>
    <row r="248" spans="1:5" x14ac:dyDescent="0.35">
      <c r="A248" s="13">
        <v>43242</v>
      </c>
      <c r="B248" s="5" t="s">
        <v>404</v>
      </c>
      <c r="C248" s="5">
        <v>3</v>
      </c>
      <c r="D248" s="17">
        <v>48000</v>
      </c>
      <c r="E248" s="17">
        <f t="shared" si="3"/>
        <v>144000</v>
      </c>
    </row>
    <row r="249" spans="1:5" x14ac:dyDescent="0.35">
      <c r="A249" s="13">
        <v>43242</v>
      </c>
      <c r="B249" s="5" t="s">
        <v>404</v>
      </c>
      <c r="C249" s="5">
        <v>5</v>
      </c>
      <c r="D249" s="17">
        <v>47000</v>
      </c>
      <c r="E249" s="17">
        <f t="shared" si="3"/>
        <v>235000</v>
      </c>
    </row>
    <row r="250" spans="1:5" x14ac:dyDescent="0.35">
      <c r="A250" s="13">
        <v>43242</v>
      </c>
      <c r="B250" s="5" t="s">
        <v>38</v>
      </c>
      <c r="C250" s="5">
        <v>1</v>
      </c>
      <c r="D250" s="17">
        <v>49000</v>
      </c>
      <c r="E250" s="17">
        <f t="shared" si="3"/>
        <v>49000</v>
      </c>
    </row>
    <row r="251" spans="1:5" x14ac:dyDescent="0.35">
      <c r="A251" s="13">
        <v>43242</v>
      </c>
      <c r="B251" s="5" t="s">
        <v>203</v>
      </c>
      <c r="C251" s="5">
        <v>1</v>
      </c>
      <c r="D251" s="17">
        <v>56000</v>
      </c>
      <c r="E251" s="17">
        <f t="shared" si="3"/>
        <v>56000</v>
      </c>
    </row>
    <row r="252" spans="1:5" x14ac:dyDescent="0.35">
      <c r="A252" s="13">
        <v>43243</v>
      </c>
      <c r="E252" s="17">
        <f t="shared" si="3"/>
        <v>0</v>
      </c>
    </row>
    <row r="253" spans="1:5" x14ac:dyDescent="0.35">
      <c r="A253" s="13">
        <v>43243</v>
      </c>
      <c r="B253" s="5" t="s">
        <v>542</v>
      </c>
      <c r="C253" s="5">
        <v>2</v>
      </c>
      <c r="D253" s="17">
        <v>47000</v>
      </c>
      <c r="E253" s="17">
        <f t="shared" si="3"/>
        <v>94000</v>
      </c>
    </row>
    <row r="254" spans="1:5" x14ac:dyDescent="0.35">
      <c r="A254" s="13">
        <v>43243</v>
      </c>
      <c r="B254" s="5" t="s">
        <v>7</v>
      </c>
      <c r="C254" s="5">
        <v>1</v>
      </c>
      <c r="D254" s="17">
        <v>48000</v>
      </c>
      <c r="E254" s="17">
        <f t="shared" si="3"/>
        <v>48000</v>
      </c>
    </row>
    <row r="255" spans="1:5" x14ac:dyDescent="0.35">
      <c r="A255" s="13">
        <v>43243</v>
      </c>
      <c r="B255" s="5" t="s">
        <v>92</v>
      </c>
      <c r="C255" s="5">
        <v>53</v>
      </c>
      <c r="D255" s="17">
        <v>1500</v>
      </c>
      <c r="E255" s="17">
        <f t="shared" si="3"/>
        <v>79500</v>
      </c>
    </row>
    <row r="256" spans="1:5" x14ac:dyDescent="0.35">
      <c r="A256" s="13">
        <v>43243</v>
      </c>
      <c r="B256" s="5" t="s">
        <v>542</v>
      </c>
      <c r="C256" s="5">
        <v>2</v>
      </c>
      <c r="D256" s="17">
        <v>47000</v>
      </c>
      <c r="E256" s="17">
        <f t="shared" si="3"/>
        <v>94000</v>
      </c>
    </row>
    <row r="257" spans="1:5" x14ac:dyDescent="0.35">
      <c r="A257" s="13">
        <v>43243</v>
      </c>
      <c r="B257" s="5" t="s">
        <v>183</v>
      </c>
      <c r="C257" s="5">
        <v>4</v>
      </c>
      <c r="D257" s="17">
        <v>28500</v>
      </c>
      <c r="E257" s="17">
        <f t="shared" si="3"/>
        <v>114000</v>
      </c>
    </row>
    <row r="258" spans="1:5" x14ac:dyDescent="0.35">
      <c r="A258" s="13">
        <v>43243</v>
      </c>
      <c r="B258" s="5" t="s">
        <v>201</v>
      </c>
      <c r="C258" s="5">
        <v>6</v>
      </c>
      <c r="D258" s="17">
        <v>47000</v>
      </c>
      <c r="E258" s="17">
        <f t="shared" si="3"/>
        <v>282000</v>
      </c>
    </row>
    <row r="259" spans="1:5" x14ac:dyDescent="0.35">
      <c r="A259" s="13">
        <v>43243</v>
      </c>
      <c r="B259" s="5" t="s">
        <v>567</v>
      </c>
      <c r="C259" s="5">
        <v>15</v>
      </c>
      <c r="D259" s="17">
        <v>56000</v>
      </c>
      <c r="E259" s="17">
        <f t="shared" si="3"/>
        <v>840000</v>
      </c>
    </row>
    <row r="260" spans="1:5" x14ac:dyDescent="0.35">
      <c r="A260" s="13">
        <v>43243</v>
      </c>
      <c r="B260" s="5" t="s">
        <v>292</v>
      </c>
      <c r="C260" s="5">
        <v>5</v>
      </c>
      <c r="D260" s="17">
        <v>52000</v>
      </c>
      <c r="E260" s="17">
        <f t="shared" si="3"/>
        <v>260000</v>
      </c>
    </row>
    <row r="261" spans="1:5" x14ac:dyDescent="0.35">
      <c r="A261" s="13">
        <v>43243</v>
      </c>
      <c r="B261" s="5" t="s">
        <v>566</v>
      </c>
      <c r="C261" s="5">
        <v>32</v>
      </c>
      <c r="D261" s="17">
        <v>44500</v>
      </c>
      <c r="E261" s="17">
        <f t="shared" si="3"/>
        <v>1424000</v>
      </c>
    </row>
    <row r="262" spans="1:5" x14ac:dyDescent="0.35">
      <c r="A262" s="13">
        <v>43243</v>
      </c>
      <c r="B262" s="5" t="s">
        <v>137</v>
      </c>
      <c r="C262" s="5">
        <v>4</v>
      </c>
      <c r="D262" s="17">
        <v>56000</v>
      </c>
      <c r="E262" s="17">
        <f t="shared" ref="E262:E325" si="4">D262*C262</f>
        <v>224000</v>
      </c>
    </row>
    <row r="263" spans="1:5" x14ac:dyDescent="0.35">
      <c r="A263" s="13">
        <v>43243</v>
      </c>
      <c r="B263" s="5" t="s">
        <v>568</v>
      </c>
      <c r="C263" s="5">
        <v>2</v>
      </c>
      <c r="D263" s="17">
        <v>59000</v>
      </c>
      <c r="E263" s="17">
        <f t="shared" si="4"/>
        <v>118000</v>
      </c>
    </row>
    <row r="264" spans="1:5" x14ac:dyDescent="0.35">
      <c r="A264" s="13">
        <v>43243</v>
      </c>
      <c r="B264" s="5" t="s">
        <v>569</v>
      </c>
      <c r="C264" s="5">
        <v>2</v>
      </c>
      <c r="D264" s="17">
        <v>46000</v>
      </c>
      <c r="E264" s="17">
        <f t="shared" si="4"/>
        <v>92000</v>
      </c>
    </row>
    <row r="265" spans="1:5" x14ac:dyDescent="0.35">
      <c r="A265" s="13">
        <v>43243</v>
      </c>
      <c r="B265" s="5" t="s">
        <v>112</v>
      </c>
      <c r="C265" s="5">
        <v>32</v>
      </c>
      <c r="D265" s="17">
        <v>42500</v>
      </c>
      <c r="E265" s="17">
        <f t="shared" si="4"/>
        <v>1360000</v>
      </c>
    </row>
    <row r="266" spans="1:5" x14ac:dyDescent="0.35">
      <c r="A266" s="13">
        <v>43243</v>
      </c>
      <c r="B266" s="5" t="s">
        <v>220</v>
      </c>
      <c r="C266" s="5">
        <v>11</v>
      </c>
      <c r="D266" s="17">
        <v>48000</v>
      </c>
      <c r="E266" s="17">
        <f t="shared" si="4"/>
        <v>528000</v>
      </c>
    </row>
    <row r="267" spans="1:5" x14ac:dyDescent="0.35">
      <c r="A267" s="13">
        <v>43243</v>
      </c>
      <c r="B267" s="5" t="s">
        <v>540</v>
      </c>
      <c r="C267" s="5">
        <v>2</v>
      </c>
      <c r="D267" s="17">
        <v>54000</v>
      </c>
      <c r="E267" s="17">
        <f t="shared" si="4"/>
        <v>108000</v>
      </c>
    </row>
    <row r="268" spans="1:5" x14ac:dyDescent="0.35">
      <c r="A268" s="13">
        <v>43243</v>
      </c>
      <c r="B268" s="5" t="s">
        <v>570</v>
      </c>
      <c r="C268" s="5">
        <v>20</v>
      </c>
      <c r="D268" s="17">
        <v>9500</v>
      </c>
      <c r="E268" s="17">
        <f t="shared" si="4"/>
        <v>190000</v>
      </c>
    </row>
    <row r="269" spans="1:5" x14ac:dyDescent="0.35">
      <c r="A269" s="13">
        <v>43244</v>
      </c>
      <c r="E269" s="17">
        <f t="shared" si="4"/>
        <v>0</v>
      </c>
    </row>
    <row r="270" spans="1:5" x14ac:dyDescent="0.35">
      <c r="A270" s="13">
        <v>43244</v>
      </c>
      <c r="B270" s="5" t="s">
        <v>4</v>
      </c>
      <c r="C270" s="5">
        <v>2</v>
      </c>
      <c r="D270" s="17">
        <v>39000</v>
      </c>
      <c r="E270" s="17">
        <f t="shared" si="4"/>
        <v>78000</v>
      </c>
    </row>
    <row r="271" spans="1:5" x14ac:dyDescent="0.35">
      <c r="A271" s="13">
        <v>43244</v>
      </c>
      <c r="B271" s="5" t="s">
        <v>3</v>
      </c>
      <c r="C271" s="5">
        <v>10</v>
      </c>
      <c r="D271" s="17">
        <v>57500</v>
      </c>
      <c r="E271" s="17">
        <f t="shared" si="4"/>
        <v>575000</v>
      </c>
    </row>
    <row r="272" spans="1:5" x14ac:dyDescent="0.35">
      <c r="A272" s="13">
        <v>43244</v>
      </c>
      <c r="B272" s="5" t="s">
        <v>292</v>
      </c>
      <c r="C272" s="5">
        <v>3</v>
      </c>
      <c r="D272" s="17">
        <v>52000</v>
      </c>
      <c r="E272" s="17">
        <f t="shared" si="4"/>
        <v>156000</v>
      </c>
    </row>
    <row r="273" spans="1:5" x14ac:dyDescent="0.35">
      <c r="A273" s="13">
        <v>43244</v>
      </c>
      <c r="B273" s="5" t="s">
        <v>4</v>
      </c>
      <c r="C273" s="5">
        <v>9</v>
      </c>
      <c r="D273" s="17">
        <v>39000</v>
      </c>
      <c r="E273" s="17">
        <f t="shared" si="4"/>
        <v>351000</v>
      </c>
    </row>
    <row r="274" spans="1:5" x14ac:dyDescent="0.35">
      <c r="A274" s="13">
        <v>43244</v>
      </c>
      <c r="B274" s="5" t="s">
        <v>573</v>
      </c>
      <c r="C274" s="5">
        <v>68</v>
      </c>
      <c r="D274" s="17">
        <v>2000</v>
      </c>
      <c r="E274" s="17">
        <f t="shared" si="4"/>
        <v>136000</v>
      </c>
    </row>
    <row r="275" spans="1:5" x14ac:dyDescent="0.35">
      <c r="A275" s="13">
        <v>43244</v>
      </c>
      <c r="B275" s="5" t="s">
        <v>572</v>
      </c>
      <c r="C275" s="5">
        <v>40</v>
      </c>
      <c r="D275" s="17">
        <v>2000</v>
      </c>
      <c r="E275" s="17">
        <f t="shared" si="4"/>
        <v>80000</v>
      </c>
    </row>
    <row r="276" spans="1:5" x14ac:dyDescent="0.35">
      <c r="A276" s="13">
        <v>43244</v>
      </c>
      <c r="B276" s="5" t="s">
        <v>220</v>
      </c>
      <c r="C276" s="5">
        <v>8</v>
      </c>
      <c r="D276" s="17">
        <v>48000</v>
      </c>
      <c r="E276" s="17">
        <f t="shared" si="4"/>
        <v>384000</v>
      </c>
    </row>
    <row r="277" spans="1:5" x14ac:dyDescent="0.35">
      <c r="A277" s="13">
        <v>43244</v>
      </c>
      <c r="B277" s="5" t="s">
        <v>220</v>
      </c>
      <c r="C277" s="5">
        <v>1</v>
      </c>
      <c r="D277" s="17">
        <v>48000</v>
      </c>
      <c r="E277" s="17">
        <f t="shared" si="4"/>
        <v>48000</v>
      </c>
    </row>
    <row r="278" spans="1:5" x14ac:dyDescent="0.35">
      <c r="A278" s="13">
        <v>43244</v>
      </c>
      <c r="B278" s="5" t="s">
        <v>181</v>
      </c>
      <c r="C278" s="5">
        <v>1</v>
      </c>
      <c r="D278" s="17">
        <v>48000</v>
      </c>
      <c r="E278" s="17">
        <f t="shared" si="4"/>
        <v>48000</v>
      </c>
    </row>
    <row r="279" spans="1:5" x14ac:dyDescent="0.35">
      <c r="A279" s="13">
        <v>43244</v>
      </c>
      <c r="B279" s="5" t="s">
        <v>571</v>
      </c>
      <c r="C279" s="5">
        <v>1</v>
      </c>
      <c r="D279" s="17">
        <v>64000</v>
      </c>
      <c r="E279" s="17">
        <f t="shared" si="4"/>
        <v>64000</v>
      </c>
    </row>
    <row r="280" spans="1:5" x14ac:dyDescent="0.35">
      <c r="A280" s="13">
        <v>43244</v>
      </c>
      <c r="B280" s="5" t="s">
        <v>92</v>
      </c>
      <c r="C280" s="5">
        <v>20</v>
      </c>
      <c r="D280" s="17">
        <v>1500</v>
      </c>
      <c r="E280" s="17">
        <f t="shared" si="4"/>
        <v>30000</v>
      </c>
    </row>
    <row r="281" spans="1:5" x14ac:dyDescent="0.35">
      <c r="A281" s="13">
        <v>43244</v>
      </c>
      <c r="B281" s="5" t="s">
        <v>4</v>
      </c>
      <c r="C281" s="5">
        <v>1</v>
      </c>
      <c r="D281" s="17">
        <v>39000</v>
      </c>
      <c r="E281" s="17">
        <f t="shared" si="4"/>
        <v>39000</v>
      </c>
    </row>
    <row r="282" spans="1:5" x14ac:dyDescent="0.35">
      <c r="A282" s="13">
        <v>43244</v>
      </c>
      <c r="B282" s="5" t="s">
        <v>559</v>
      </c>
      <c r="C282" s="5">
        <v>7</v>
      </c>
      <c r="D282" s="17">
        <v>58000</v>
      </c>
      <c r="E282" s="17">
        <f t="shared" si="4"/>
        <v>406000</v>
      </c>
    </row>
    <row r="283" spans="1:5" x14ac:dyDescent="0.35">
      <c r="A283" s="13">
        <v>43245</v>
      </c>
      <c r="E283" s="17">
        <f t="shared" si="4"/>
        <v>0</v>
      </c>
    </row>
    <row r="284" spans="1:5" x14ac:dyDescent="0.35">
      <c r="A284" s="13">
        <v>43245</v>
      </c>
      <c r="B284" s="5" t="s">
        <v>577</v>
      </c>
      <c r="C284" s="5">
        <v>14</v>
      </c>
      <c r="D284" s="17">
        <v>1600</v>
      </c>
      <c r="E284" s="17">
        <f t="shared" si="4"/>
        <v>22400</v>
      </c>
    </row>
    <row r="285" spans="1:5" x14ac:dyDescent="0.35">
      <c r="A285" s="13">
        <v>43245</v>
      </c>
      <c r="B285" s="5" t="s">
        <v>555</v>
      </c>
      <c r="C285" s="5">
        <v>1</v>
      </c>
      <c r="D285" s="17">
        <v>15000</v>
      </c>
      <c r="E285" s="17">
        <f t="shared" si="4"/>
        <v>15000</v>
      </c>
    </row>
    <row r="286" spans="1:5" x14ac:dyDescent="0.35">
      <c r="A286" s="13">
        <v>43245</v>
      </c>
      <c r="B286" s="5" t="s">
        <v>576</v>
      </c>
      <c r="C286" s="5">
        <v>19</v>
      </c>
      <c r="D286" s="17">
        <v>50000</v>
      </c>
      <c r="E286" s="17">
        <f t="shared" si="4"/>
        <v>950000</v>
      </c>
    </row>
    <row r="287" spans="1:5" x14ac:dyDescent="0.35">
      <c r="A287" s="13">
        <v>43245</v>
      </c>
      <c r="B287" s="5" t="s">
        <v>575</v>
      </c>
      <c r="C287" s="5">
        <v>1</v>
      </c>
      <c r="D287" s="17">
        <v>55000</v>
      </c>
      <c r="E287" s="17">
        <f t="shared" si="4"/>
        <v>55000</v>
      </c>
    </row>
    <row r="288" spans="1:5" x14ac:dyDescent="0.35">
      <c r="A288" s="13">
        <v>43245</v>
      </c>
      <c r="B288" s="5" t="s">
        <v>137</v>
      </c>
      <c r="C288" s="5">
        <v>1</v>
      </c>
      <c r="D288" s="17">
        <v>55000</v>
      </c>
      <c r="E288" s="17">
        <f t="shared" si="4"/>
        <v>55000</v>
      </c>
    </row>
    <row r="289" spans="1:5" x14ac:dyDescent="0.35">
      <c r="A289" s="13">
        <v>43245</v>
      </c>
      <c r="B289" s="5" t="s">
        <v>574</v>
      </c>
      <c r="C289" s="5">
        <v>1</v>
      </c>
      <c r="D289" s="17">
        <v>15000</v>
      </c>
      <c r="E289" s="17">
        <f t="shared" si="4"/>
        <v>15000</v>
      </c>
    </row>
    <row r="290" spans="1:5" x14ac:dyDescent="0.35">
      <c r="A290" s="13">
        <v>43245</v>
      </c>
      <c r="B290" s="5" t="s">
        <v>160</v>
      </c>
      <c r="C290" s="5">
        <v>3</v>
      </c>
      <c r="D290" s="17">
        <v>55000</v>
      </c>
      <c r="E290" s="17">
        <f t="shared" si="4"/>
        <v>165000</v>
      </c>
    </row>
    <row r="291" spans="1:5" x14ac:dyDescent="0.35">
      <c r="A291" s="13">
        <v>43246</v>
      </c>
      <c r="E291" s="17">
        <f t="shared" si="4"/>
        <v>0</v>
      </c>
    </row>
    <row r="292" spans="1:5" x14ac:dyDescent="0.35">
      <c r="A292" s="13">
        <v>43246</v>
      </c>
      <c r="B292" s="5" t="s">
        <v>27</v>
      </c>
      <c r="C292" s="5">
        <v>7</v>
      </c>
      <c r="D292" s="17">
        <v>1500</v>
      </c>
      <c r="E292" s="17">
        <f t="shared" si="4"/>
        <v>10500</v>
      </c>
    </row>
    <row r="293" spans="1:5" x14ac:dyDescent="0.35">
      <c r="A293" s="13">
        <v>43246</v>
      </c>
      <c r="B293" s="5" t="s">
        <v>220</v>
      </c>
      <c r="C293" s="5">
        <v>4</v>
      </c>
      <c r="D293" s="17">
        <v>47000</v>
      </c>
      <c r="E293" s="17">
        <f t="shared" si="4"/>
        <v>188000</v>
      </c>
    </row>
    <row r="294" spans="1:5" x14ac:dyDescent="0.35">
      <c r="A294" s="13">
        <v>43246</v>
      </c>
      <c r="B294" s="5" t="s">
        <v>73</v>
      </c>
      <c r="C294" s="5">
        <v>5</v>
      </c>
      <c r="D294" s="17">
        <v>38500</v>
      </c>
      <c r="E294" s="17">
        <f t="shared" si="4"/>
        <v>192500</v>
      </c>
    </row>
    <row r="295" spans="1:5" x14ac:dyDescent="0.35">
      <c r="A295" s="13">
        <v>43246</v>
      </c>
      <c r="B295" s="5" t="s">
        <v>125</v>
      </c>
      <c r="C295" s="5">
        <v>9</v>
      </c>
      <c r="D295" s="17">
        <v>39000</v>
      </c>
      <c r="E295" s="17">
        <f t="shared" si="4"/>
        <v>351000</v>
      </c>
    </row>
    <row r="296" spans="1:5" x14ac:dyDescent="0.35">
      <c r="A296" s="13">
        <v>43246</v>
      </c>
      <c r="B296" s="5" t="s">
        <v>542</v>
      </c>
      <c r="C296" s="5">
        <v>13</v>
      </c>
      <c r="D296" s="17">
        <v>47000</v>
      </c>
      <c r="E296" s="17">
        <f t="shared" si="4"/>
        <v>611000</v>
      </c>
    </row>
    <row r="297" spans="1:5" x14ac:dyDescent="0.35">
      <c r="A297" s="13">
        <v>43246</v>
      </c>
      <c r="B297" s="5" t="s">
        <v>446</v>
      </c>
      <c r="C297" s="5">
        <v>2</v>
      </c>
      <c r="D297" s="17">
        <v>48000</v>
      </c>
      <c r="E297" s="17">
        <f t="shared" si="4"/>
        <v>96000</v>
      </c>
    </row>
    <row r="298" spans="1:5" x14ac:dyDescent="0.35">
      <c r="A298" s="13">
        <v>43246</v>
      </c>
      <c r="B298" s="5" t="s">
        <v>9</v>
      </c>
      <c r="C298" s="5">
        <v>5</v>
      </c>
      <c r="D298" s="17">
        <v>58000</v>
      </c>
      <c r="E298" s="17">
        <f t="shared" si="4"/>
        <v>290000</v>
      </c>
    </row>
    <row r="299" spans="1:5" x14ac:dyDescent="0.35">
      <c r="A299" s="13">
        <v>43246</v>
      </c>
      <c r="B299" s="5" t="s">
        <v>3</v>
      </c>
      <c r="C299" s="5">
        <v>15</v>
      </c>
      <c r="D299" s="17">
        <v>58000</v>
      </c>
      <c r="E299" s="17">
        <f t="shared" si="4"/>
        <v>870000</v>
      </c>
    </row>
    <row r="300" spans="1:5" x14ac:dyDescent="0.35">
      <c r="A300" s="13">
        <v>43246</v>
      </c>
      <c r="B300" s="5" t="s">
        <v>38</v>
      </c>
      <c r="C300" s="5">
        <v>8</v>
      </c>
      <c r="D300" s="17">
        <v>49000</v>
      </c>
      <c r="E300" s="17">
        <f t="shared" si="4"/>
        <v>392000</v>
      </c>
    </row>
    <row r="301" spans="1:5" x14ac:dyDescent="0.35">
      <c r="A301" s="13">
        <v>43246</v>
      </c>
      <c r="B301" s="5" t="s">
        <v>103</v>
      </c>
      <c r="C301" s="5">
        <v>15</v>
      </c>
      <c r="D301" s="17">
        <v>1600</v>
      </c>
      <c r="E301" s="17">
        <f t="shared" si="4"/>
        <v>24000</v>
      </c>
    </row>
    <row r="302" spans="1:5" x14ac:dyDescent="0.35">
      <c r="A302" s="13">
        <v>43246</v>
      </c>
      <c r="B302" s="5" t="s">
        <v>159</v>
      </c>
      <c r="C302" s="5">
        <v>8</v>
      </c>
      <c r="D302" s="17">
        <v>54500</v>
      </c>
      <c r="E302" s="17">
        <f t="shared" si="4"/>
        <v>436000</v>
      </c>
    </row>
    <row r="303" spans="1:5" x14ac:dyDescent="0.35">
      <c r="A303" s="13">
        <v>43246</v>
      </c>
      <c r="B303" s="5" t="s">
        <v>578</v>
      </c>
      <c r="C303" s="5">
        <v>32</v>
      </c>
      <c r="D303" s="17">
        <v>8000</v>
      </c>
      <c r="E303" s="17">
        <f t="shared" si="4"/>
        <v>256000</v>
      </c>
    </row>
    <row r="304" spans="1:5" x14ac:dyDescent="0.35">
      <c r="A304" s="13">
        <v>43246</v>
      </c>
      <c r="B304" s="5" t="s">
        <v>575</v>
      </c>
      <c r="C304" s="5">
        <v>9</v>
      </c>
      <c r="D304" s="17">
        <v>55000</v>
      </c>
      <c r="E304" s="17">
        <f t="shared" si="4"/>
        <v>495000</v>
      </c>
    </row>
    <row r="305" spans="1:5" x14ac:dyDescent="0.35">
      <c r="A305" s="13">
        <v>43246</v>
      </c>
      <c r="B305" s="5" t="s">
        <v>34</v>
      </c>
      <c r="C305" s="5">
        <v>39</v>
      </c>
      <c r="D305" s="17">
        <v>46500</v>
      </c>
      <c r="E305" s="17">
        <f t="shared" si="4"/>
        <v>1813500</v>
      </c>
    </row>
    <row r="306" spans="1:5" x14ac:dyDescent="0.35">
      <c r="A306" s="13">
        <v>43246</v>
      </c>
      <c r="B306" s="5" t="s">
        <v>225</v>
      </c>
      <c r="C306" s="5">
        <v>17</v>
      </c>
      <c r="D306" s="17">
        <v>56000</v>
      </c>
      <c r="E306" s="17">
        <f t="shared" si="4"/>
        <v>952000</v>
      </c>
    </row>
    <row r="307" spans="1:5" x14ac:dyDescent="0.35">
      <c r="A307" s="13">
        <v>43246</v>
      </c>
      <c r="B307" s="5" t="s">
        <v>25</v>
      </c>
      <c r="C307" s="5">
        <v>3</v>
      </c>
      <c r="D307" s="17">
        <v>55000</v>
      </c>
      <c r="E307" s="17">
        <f t="shared" si="4"/>
        <v>165000</v>
      </c>
    </row>
    <row r="308" spans="1:5" x14ac:dyDescent="0.35">
      <c r="A308" s="13">
        <v>43246</v>
      </c>
      <c r="B308" s="5" t="s">
        <v>60</v>
      </c>
      <c r="C308" s="5">
        <v>1</v>
      </c>
      <c r="D308" s="17">
        <v>54000</v>
      </c>
      <c r="E308" s="17">
        <f t="shared" si="4"/>
        <v>54000</v>
      </c>
    </row>
    <row r="309" spans="1:5" x14ac:dyDescent="0.35">
      <c r="A309" s="13">
        <v>43246</v>
      </c>
      <c r="B309" s="5" t="s">
        <v>397</v>
      </c>
      <c r="C309" s="5">
        <v>2</v>
      </c>
      <c r="D309" s="17">
        <v>49000</v>
      </c>
      <c r="E309" s="17">
        <f t="shared" si="4"/>
        <v>98000</v>
      </c>
    </row>
    <row r="310" spans="1:5" x14ac:dyDescent="0.35">
      <c r="A310" s="13">
        <v>43246</v>
      </c>
      <c r="B310" s="5" t="s">
        <v>542</v>
      </c>
      <c r="C310" s="5">
        <v>1</v>
      </c>
      <c r="D310" s="17">
        <v>47000</v>
      </c>
      <c r="E310" s="17">
        <f t="shared" si="4"/>
        <v>47000</v>
      </c>
    </row>
    <row r="311" spans="1:5" x14ac:dyDescent="0.35">
      <c r="A311" s="13">
        <v>43246</v>
      </c>
      <c r="B311" s="5" t="s">
        <v>215</v>
      </c>
      <c r="C311" s="5">
        <v>1</v>
      </c>
      <c r="D311" s="17">
        <v>47000</v>
      </c>
      <c r="E311" s="17">
        <f t="shared" si="4"/>
        <v>47000</v>
      </c>
    </row>
    <row r="312" spans="1:5" x14ac:dyDescent="0.35">
      <c r="A312" s="13">
        <v>43246</v>
      </c>
      <c r="B312" s="5" t="s">
        <v>4</v>
      </c>
      <c r="C312" s="5">
        <v>1</v>
      </c>
      <c r="D312" s="17">
        <v>38000</v>
      </c>
      <c r="E312" s="17">
        <f t="shared" si="4"/>
        <v>38000</v>
      </c>
    </row>
    <row r="313" spans="1:5" x14ac:dyDescent="0.35">
      <c r="A313" s="13">
        <v>43246</v>
      </c>
      <c r="B313" s="5" t="s">
        <v>3</v>
      </c>
      <c r="C313" s="5">
        <v>10</v>
      </c>
      <c r="D313" s="17">
        <v>57000</v>
      </c>
      <c r="E313" s="17">
        <f t="shared" si="4"/>
        <v>570000</v>
      </c>
    </row>
    <row r="314" spans="1:5" x14ac:dyDescent="0.35">
      <c r="A314" s="13">
        <v>43246</v>
      </c>
      <c r="B314" s="5" t="s">
        <v>168</v>
      </c>
      <c r="C314" s="5">
        <v>52</v>
      </c>
      <c r="D314" s="17">
        <v>1500</v>
      </c>
      <c r="E314" s="17">
        <f t="shared" si="4"/>
        <v>78000</v>
      </c>
    </row>
    <row r="315" spans="1:5" x14ac:dyDescent="0.35">
      <c r="A315" s="13">
        <v>43246</v>
      </c>
      <c r="B315" s="5" t="s">
        <v>32</v>
      </c>
      <c r="C315" s="5">
        <v>30</v>
      </c>
      <c r="D315" s="17">
        <v>43000</v>
      </c>
      <c r="E315" s="17">
        <f t="shared" si="4"/>
        <v>1290000</v>
      </c>
    </row>
    <row r="316" spans="1:5" x14ac:dyDescent="0.35">
      <c r="A316" s="13">
        <v>43246</v>
      </c>
      <c r="B316" s="5" t="s">
        <v>224</v>
      </c>
      <c r="C316" s="5">
        <v>1</v>
      </c>
      <c r="D316" s="17">
        <v>53000</v>
      </c>
      <c r="E316" s="17">
        <f t="shared" si="4"/>
        <v>53000</v>
      </c>
    </row>
    <row r="317" spans="1:5" x14ac:dyDescent="0.35">
      <c r="A317" s="13">
        <v>43246</v>
      </c>
      <c r="B317" s="5" t="s">
        <v>303</v>
      </c>
      <c r="C317" s="5">
        <v>2</v>
      </c>
      <c r="D317" s="17">
        <v>55000</v>
      </c>
      <c r="E317" s="17">
        <f t="shared" si="4"/>
        <v>110000</v>
      </c>
    </row>
    <row r="318" spans="1:5" x14ac:dyDescent="0.35">
      <c r="A318" s="13">
        <v>43248</v>
      </c>
      <c r="E318" s="17">
        <f t="shared" si="4"/>
        <v>0</v>
      </c>
    </row>
    <row r="319" spans="1:5" x14ac:dyDescent="0.35">
      <c r="A319" s="13">
        <v>43248</v>
      </c>
      <c r="B319" s="5" t="s">
        <v>566</v>
      </c>
      <c r="C319" s="5">
        <v>3</v>
      </c>
      <c r="D319" s="17">
        <v>44500</v>
      </c>
      <c r="E319" s="17">
        <f t="shared" si="4"/>
        <v>133500</v>
      </c>
    </row>
    <row r="320" spans="1:5" x14ac:dyDescent="0.35">
      <c r="A320" s="13">
        <v>43248</v>
      </c>
      <c r="B320" s="5" t="s">
        <v>201</v>
      </c>
      <c r="C320" s="5">
        <v>4</v>
      </c>
      <c r="D320" s="17">
        <v>47000</v>
      </c>
      <c r="E320" s="17">
        <f t="shared" si="4"/>
        <v>188000</v>
      </c>
    </row>
    <row r="321" spans="1:5" x14ac:dyDescent="0.35">
      <c r="A321" s="13">
        <v>43248</v>
      </c>
      <c r="B321" s="5" t="s">
        <v>225</v>
      </c>
      <c r="C321" s="5">
        <v>2</v>
      </c>
      <c r="D321" s="17">
        <v>56000</v>
      </c>
      <c r="E321" s="17">
        <f t="shared" si="4"/>
        <v>112000</v>
      </c>
    </row>
    <row r="322" spans="1:5" x14ac:dyDescent="0.35">
      <c r="A322" s="13">
        <v>43248</v>
      </c>
      <c r="B322" s="5" t="s">
        <v>112</v>
      </c>
      <c r="C322" s="5">
        <v>69</v>
      </c>
      <c r="D322" s="17">
        <v>41000</v>
      </c>
      <c r="E322" s="17">
        <f t="shared" si="4"/>
        <v>2829000</v>
      </c>
    </row>
    <row r="323" spans="1:5" x14ac:dyDescent="0.35">
      <c r="A323" s="13">
        <v>43248</v>
      </c>
      <c r="B323" s="5" t="s">
        <v>9</v>
      </c>
      <c r="C323" s="5">
        <v>6</v>
      </c>
      <c r="D323" s="17">
        <v>57500</v>
      </c>
      <c r="E323" s="17">
        <f t="shared" si="4"/>
        <v>345000</v>
      </c>
    </row>
    <row r="324" spans="1:5" x14ac:dyDescent="0.35">
      <c r="A324" s="13">
        <v>43248</v>
      </c>
      <c r="B324" s="5" t="s">
        <v>4</v>
      </c>
      <c r="C324" s="5">
        <v>8</v>
      </c>
      <c r="D324" s="17">
        <v>380000</v>
      </c>
      <c r="E324" s="17">
        <f t="shared" si="4"/>
        <v>3040000</v>
      </c>
    </row>
    <row r="325" spans="1:5" x14ac:dyDescent="0.35">
      <c r="A325" s="13">
        <v>43248</v>
      </c>
      <c r="B325" s="5" t="s">
        <v>33</v>
      </c>
      <c r="C325" s="5">
        <v>2</v>
      </c>
      <c r="D325" s="17">
        <v>49000</v>
      </c>
      <c r="E325" s="17">
        <f t="shared" si="4"/>
        <v>98000</v>
      </c>
    </row>
    <row r="326" spans="1:5" x14ac:dyDescent="0.35">
      <c r="A326" s="13">
        <v>43248</v>
      </c>
      <c r="B326" s="5" t="s">
        <v>127</v>
      </c>
      <c r="C326" s="5">
        <v>20</v>
      </c>
      <c r="D326" s="17">
        <v>2000</v>
      </c>
      <c r="E326" s="17">
        <f t="shared" ref="E326:E380" si="5">D326*C326</f>
        <v>40000</v>
      </c>
    </row>
    <row r="327" spans="1:5" x14ac:dyDescent="0.35">
      <c r="A327" s="13">
        <v>43248</v>
      </c>
      <c r="B327" s="5" t="s">
        <v>579</v>
      </c>
      <c r="C327" s="5">
        <v>60</v>
      </c>
      <c r="D327" s="17">
        <v>3500</v>
      </c>
      <c r="E327" s="17">
        <f t="shared" si="5"/>
        <v>210000</v>
      </c>
    </row>
    <row r="328" spans="1:5" x14ac:dyDescent="0.35">
      <c r="A328" s="13">
        <v>43248</v>
      </c>
      <c r="B328" s="5" t="s">
        <v>167</v>
      </c>
      <c r="C328" s="5">
        <v>15</v>
      </c>
      <c r="D328" s="17">
        <v>43500</v>
      </c>
      <c r="E328" s="17">
        <f t="shared" si="5"/>
        <v>652500</v>
      </c>
    </row>
    <row r="329" spans="1:5" x14ac:dyDescent="0.35">
      <c r="A329" s="13">
        <v>43248</v>
      </c>
      <c r="B329" s="5" t="s">
        <v>404</v>
      </c>
      <c r="C329" s="5">
        <v>2</v>
      </c>
      <c r="D329" s="17">
        <v>47000</v>
      </c>
      <c r="E329" s="17">
        <f t="shared" si="5"/>
        <v>94000</v>
      </c>
    </row>
    <row r="330" spans="1:5" x14ac:dyDescent="0.35">
      <c r="A330" s="13">
        <v>43248</v>
      </c>
      <c r="B330" s="5" t="s">
        <v>200</v>
      </c>
      <c r="C330" s="5">
        <v>2</v>
      </c>
      <c r="D330" s="17">
        <v>46000</v>
      </c>
      <c r="E330" s="17">
        <f t="shared" si="5"/>
        <v>92000</v>
      </c>
    </row>
    <row r="331" spans="1:5" x14ac:dyDescent="0.35">
      <c r="A331" s="13">
        <v>43248</v>
      </c>
      <c r="B331" s="5" t="s">
        <v>224</v>
      </c>
      <c r="C331" s="5">
        <v>2</v>
      </c>
      <c r="D331" s="17">
        <v>53000</v>
      </c>
      <c r="E331" s="17">
        <f t="shared" si="5"/>
        <v>106000</v>
      </c>
    </row>
    <row r="332" spans="1:5" x14ac:dyDescent="0.35">
      <c r="A332" s="13">
        <v>43248</v>
      </c>
      <c r="B332" s="5" t="s">
        <v>303</v>
      </c>
      <c r="C332" s="5">
        <v>1</v>
      </c>
      <c r="D332" s="17">
        <v>56000</v>
      </c>
      <c r="E332" s="17">
        <f t="shared" si="5"/>
        <v>56000</v>
      </c>
    </row>
    <row r="333" spans="1:5" x14ac:dyDescent="0.35">
      <c r="A333" s="13">
        <v>43248</v>
      </c>
      <c r="B333" s="5" t="s">
        <v>6</v>
      </c>
      <c r="C333" s="5">
        <v>9</v>
      </c>
      <c r="D333" s="17">
        <v>53000</v>
      </c>
      <c r="E333" s="17">
        <f t="shared" si="5"/>
        <v>477000</v>
      </c>
    </row>
    <row r="334" spans="1:5" x14ac:dyDescent="0.35">
      <c r="A334" s="13">
        <v>43248</v>
      </c>
      <c r="B334" s="5" t="s">
        <v>580</v>
      </c>
      <c r="C334" s="5">
        <v>7</v>
      </c>
      <c r="D334" s="17">
        <v>3500</v>
      </c>
      <c r="E334" s="17">
        <f t="shared" si="5"/>
        <v>24500</v>
      </c>
    </row>
    <row r="335" spans="1:5" x14ac:dyDescent="0.35">
      <c r="A335" s="13">
        <v>43248</v>
      </c>
      <c r="B335" s="5" t="s">
        <v>160</v>
      </c>
      <c r="C335" s="5">
        <v>1</v>
      </c>
      <c r="D335" s="17">
        <v>56000</v>
      </c>
      <c r="E335" s="17">
        <f t="shared" si="5"/>
        <v>56000</v>
      </c>
    </row>
    <row r="336" spans="1:5" x14ac:dyDescent="0.35">
      <c r="A336" s="13">
        <v>43248</v>
      </c>
      <c r="B336" s="5" t="s">
        <v>220</v>
      </c>
      <c r="C336" s="5">
        <v>1</v>
      </c>
      <c r="D336" s="17">
        <v>47000</v>
      </c>
      <c r="E336" s="17">
        <f t="shared" si="5"/>
        <v>47000</v>
      </c>
    </row>
    <row r="337" spans="1:5" x14ac:dyDescent="0.35">
      <c r="A337" s="13">
        <v>43248</v>
      </c>
      <c r="B337" s="5" t="s">
        <v>141</v>
      </c>
      <c r="C337" s="5">
        <v>12</v>
      </c>
      <c r="D337" s="17">
        <v>12000</v>
      </c>
      <c r="E337" s="17">
        <f t="shared" si="5"/>
        <v>144000</v>
      </c>
    </row>
    <row r="338" spans="1:5" x14ac:dyDescent="0.35">
      <c r="A338" s="13">
        <v>43248</v>
      </c>
      <c r="B338" s="5" t="s">
        <v>4</v>
      </c>
      <c r="C338" s="5">
        <v>3</v>
      </c>
      <c r="D338" s="17">
        <v>39000</v>
      </c>
      <c r="E338" s="17">
        <f t="shared" si="5"/>
        <v>117000</v>
      </c>
    </row>
    <row r="339" spans="1:5" x14ac:dyDescent="0.35">
      <c r="A339" s="13">
        <v>43248</v>
      </c>
      <c r="B339" s="5" t="s">
        <v>583</v>
      </c>
      <c r="C339" s="5">
        <v>2</v>
      </c>
      <c r="D339" s="17">
        <v>52000</v>
      </c>
      <c r="E339" s="17">
        <f t="shared" si="5"/>
        <v>104000</v>
      </c>
    </row>
    <row r="340" spans="1:5" x14ac:dyDescent="0.35">
      <c r="A340" s="13">
        <v>43248</v>
      </c>
      <c r="B340" s="5" t="s">
        <v>92</v>
      </c>
      <c r="C340" s="5">
        <v>16</v>
      </c>
      <c r="D340" s="17">
        <v>1600</v>
      </c>
      <c r="E340" s="17">
        <f t="shared" si="5"/>
        <v>25600</v>
      </c>
    </row>
    <row r="341" spans="1:5" x14ac:dyDescent="0.35">
      <c r="A341" s="13">
        <v>43249</v>
      </c>
      <c r="E341" s="17">
        <f t="shared" si="5"/>
        <v>0</v>
      </c>
    </row>
    <row r="342" spans="1:5" x14ac:dyDescent="0.35">
      <c r="A342" s="13">
        <v>43249</v>
      </c>
      <c r="B342" s="5" t="s">
        <v>3</v>
      </c>
      <c r="C342" s="5">
        <v>2</v>
      </c>
      <c r="D342" s="17">
        <v>58000</v>
      </c>
      <c r="E342" s="17">
        <f t="shared" si="5"/>
        <v>116000</v>
      </c>
    </row>
    <row r="343" spans="1:5" x14ac:dyDescent="0.35">
      <c r="A343" s="13">
        <v>43249</v>
      </c>
      <c r="B343" s="5" t="s">
        <v>159</v>
      </c>
      <c r="C343" s="5">
        <v>2</v>
      </c>
      <c r="D343" s="17">
        <v>54500</v>
      </c>
      <c r="E343" s="17">
        <f t="shared" si="5"/>
        <v>109000</v>
      </c>
    </row>
    <row r="344" spans="1:5" x14ac:dyDescent="0.35">
      <c r="A344" s="13">
        <v>43249</v>
      </c>
      <c r="B344" s="5" t="s">
        <v>578</v>
      </c>
      <c r="C344" s="5">
        <v>10</v>
      </c>
      <c r="D344" s="17">
        <v>8000</v>
      </c>
      <c r="E344" s="17">
        <f t="shared" si="5"/>
        <v>80000</v>
      </c>
    </row>
    <row r="345" spans="1:5" x14ac:dyDescent="0.35">
      <c r="A345" s="13">
        <v>43249</v>
      </c>
      <c r="B345" s="5" t="s">
        <v>225</v>
      </c>
      <c r="C345" s="5">
        <v>2</v>
      </c>
      <c r="D345" s="17">
        <v>56000</v>
      </c>
      <c r="E345" s="17">
        <f t="shared" si="5"/>
        <v>112000</v>
      </c>
    </row>
    <row r="346" spans="1:5" x14ac:dyDescent="0.35">
      <c r="A346" s="13">
        <v>43249</v>
      </c>
      <c r="B346" s="5" t="s">
        <v>581</v>
      </c>
      <c r="C346" s="5">
        <v>2</v>
      </c>
      <c r="D346" s="17">
        <v>14000</v>
      </c>
      <c r="E346" s="17">
        <f t="shared" si="5"/>
        <v>28000</v>
      </c>
    </row>
    <row r="347" spans="1:5" x14ac:dyDescent="0.35">
      <c r="A347" s="13">
        <v>43249</v>
      </c>
      <c r="B347" s="5" t="s">
        <v>225</v>
      </c>
      <c r="C347" s="5">
        <v>2</v>
      </c>
      <c r="D347" s="17">
        <v>56000</v>
      </c>
      <c r="E347" s="17">
        <f t="shared" si="5"/>
        <v>112000</v>
      </c>
    </row>
    <row r="348" spans="1:5" x14ac:dyDescent="0.35">
      <c r="A348" s="13">
        <v>43249</v>
      </c>
      <c r="B348" s="5" t="s">
        <v>581</v>
      </c>
      <c r="C348" s="5">
        <v>1</v>
      </c>
      <c r="D348" s="17">
        <v>12000</v>
      </c>
      <c r="E348" s="17">
        <f t="shared" si="5"/>
        <v>12000</v>
      </c>
    </row>
    <row r="349" spans="1:5" x14ac:dyDescent="0.35">
      <c r="A349" s="13">
        <v>43249</v>
      </c>
      <c r="B349" s="5" t="s">
        <v>168</v>
      </c>
      <c r="C349" s="5">
        <v>25</v>
      </c>
      <c r="D349" s="17">
        <v>1600</v>
      </c>
      <c r="E349" s="17">
        <f t="shared" si="5"/>
        <v>40000</v>
      </c>
    </row>
    <row r="350" spans="1:5" x14ac:dyDescent="0.35">
      <c r="A350" s="13">
        <v>43249</v>
      </c>
      <c r="B350" s="5" t="s">
        <v>582</v>
      </c>
      <c r="C350" s="5">
        <v>8</v>
      </c>
      <c r="D350" s="17">
        <v>46000</v>
      </c>
      <c r="E350" s="17">
        <f t="shared" si="5"/>
        <v>368000</v>
      </c>
    </row>
    <row r="351" spans="1:5" x14ac:dyDescent="0.35">
      <c r="A351" s="13">
        <v>43249</v>
      </c>
      <c r="B351" s="5" t="s">
        <v>9</v>
      </c>
      <c r="C351" s="5">
        <v>1</v>
      </c>
      <c r="D351" s="17">
        <v>58000</v>
      </c>
      <c r="E351" s="17">
        <f t="shared" si="5"/>
        <v>58000</v>
      </c>
    </row>
    <row r="352" spans="1:5" x14ac:dyDescent="0.35">
      <c r="A352" s="13">
        <v>43249</v>
      </c>
      <c r="B352" s="5" t="s">
        <v>311</v>
      </c>
      <c r="C352" s="5">
        <v>24</v>
      </c>
      <c r="D352" s="17">
        <v>2500</v>
      </c>
      <c r="E352" s="17">
        <f t="shared" si="5"/>
        <v>60000</v>
      </c>
    </row>
    <row r="353" spans="1:5" x14ac:dyDescent="0.35">
      <c r="A353" s="13">
        <v>43249</v>
      </c>
      <c r="B353" s="5" t="s">
        <v>227</v>
      </c>
      <c r="C353" s="5">
        <v>1</v>
      </c>
      <c r="D353" s="17">
        <v>38000</v>
      </c>
      <c r="E353" s="17">
        <f t="shared" si="5"/>
        <v>38000</v>
      </c>
    </row>
    <row r="354" spans="1:5" x14ac:dyDescent="0.35">
      <c r="A354" s="13">
        <v>43249</v>
      </c>
      <c r="B354" s="5" t="s">
        <v>583</v>
      </c>
      <c r="C354" s="5">
        <v>1</v>
      </c>
      <c r="D354" s="17">
        <v>52000</v>
      </c>
      <c r="E354" s="17">
        <f t="shared" si="5"/>
        <v>52000</v>
      </c>
    </row>
    <row r="355" spans="1:5" x14ac:dyDescent="0.35">
      <c r="A355" s="13">
        <v>43249</v>
      </c>
      <c r="B355" s="5" t="s">
        <v>220</v>
      </c>
      <c r="C355" s="5">
        <v>1</v>
      </c>
      <c r="D355" s="17">
        <v>48000</v>
      </c>
      <c r="E355" s="17">
        <f t="shared" si="5"/>
        <v>48000</v>
      </c>
    </row>
    <row r="356" spans="1:5" x14ac:dyDescent="0.35">
      <c r="A356" s="13">
        <v>43249</v>
      </c>
      <c r="B356" s="5" t="s">
        <v>4</v>
      </c>
      <c r="C356" s="5">
        <v>24</v>
      </c>
      <c r="D356" s="17">
        <v>39000</v>
      </c>
      <c r="E356" s="17">
        <f t="shared" si="5"/>
        <v>936000</v>
      </c>
    </row>
    <row r="357" spans="1:5" x14ac:dyDescent="0.35">
      <c r="A357" s="13">
        <v>43249</v>
      </c>
      <c r="B357" s="5" t="s">
        <v>38</v>
      </c>
      <c r="C357" s="5">
        <v>16</v>
      </c>
      <c r="D357" s="17">
        <v>49000</v>
      </c>
      <c r="E357" s="17">
        <f t="shared" si="5"/>
        <v>784000</v>
      </c>
    </row>
    <row r="358" spans="1:5" x14ac:dyDescent="0.35">
      <c r="A358" s="13">
        <v>43249</v>
      </c>
      <c r="B358" s="5" t="s">
        <v>178</v>
      </c>
      <c r="C358" s="5">
        <v>25</v>
      </c>
      <c r="D358" s="17">
        <v>48000</v>
      </c>
      <c r="E358" s="17">
        <f t="shared" si="5"/>
        <v>1200000</v>
      </c>
    </row>
    <row r="359" spans="1:5" x14ac:dyDescent="0.35">
      <c r="A359" s="13">
        <v>43250</v>
      </c>
      <c r="E359" s="17">
        <f t="shared" si="5"/>
        <v>0</v>
      </c>
    </row>
    <row r="360" spans="1:5" x14ac:dyDescent="0.35">
      <c r="A360" s="13">
        <v>43250</v>
      </c>
      <c r="B360" s="5" t="s">
        <v>25</v>
      </c>
      <c r="C360" s="5">
        <v>30</v>
      </c>
      <c r="D360" s="17">
        <v>54000</v>
      </c>
      <c r="E360" s="17">
        <f t="shared" si="5"/>
        <v>1620000</v>
      </c>
    </row>
    <row r="361" spans="1:5" x14ac:dyDescent="0.35">
      <c r="A361" s="13">
        <v>43250</v>
      </c>
      <c r="B361" s="5" t="s">
        <v>169</v>
      </c>
      <c r="C361" s="5">
        <v>30</v>
      </c>
      <c r="D361" s="17">
        <v>58000</v>
      </c>
      <c r="E361" s="17">
        <f t="shared" si="5"/>
        <v>1740000</v>
      </c>
    </row>
    <row r="362" spans="1:5" x14ac:dyDescent="0.35">
      <c r="A362" s="13">
        <v>43250</v>
      </c>
      <c r="B362" s="5" t="s">
        <v>292</v>
      </c>
      <c r="C362" s="5">
        <v>6</v>
      </c>
      <c r="D362" s="17">
        <v>52000</v>
      </c>
      <c r="E362" s="17">
        <f t="shared" si="5"/>
        <v>312000</v>
      </c>
    </row>
    <row r="363" spans="1:5" x14ac:dyDescent="0.35">
      <c r="A363" s="13">
        <v>43250</v>
      </c>
      <c r="B363" s="5" t="s">
        <v>585</v>
      </c>
      <c r="C363" s="5">
        <v>1</v>
      </c>
      <c r="D363" s="17">
        <v>240000</v>
      </c>
      <c r="E363" s="17">
        <f t="shared" si="5"/>
        <v>240000</v>
      </c>
    </row>
    <row r="364" spans="1:5" x14ac:dyDescent="0.35">
      <c r="A364" s="13">
        <v>43250</v>
      </c>
      <c r="B364" s="5" t="s">
        <v>566</v>
      </c>
      <c r="C364" s="5">
        <v>1</v>
      </c>
      <c r="D364" s="17">
        <v>43500</v>
      </c>
      <c r="E364" s="17">
        <f t="shared" si="5"/>
        <v>43500</v>
      </c>
    </row>
    <row r="365" spans="1:5" x14ac:dyDescent="0.35">
      <c r="A365" s="13">
        <v>43250</v>
      </c>
      <c r="B365" s="5" t="s">
        <v>24</v>
      </c>
      <c r="C365" s="5">
        <v>1</v>
      </c>
      <c r="D365" s="17">
        <v>58000</v>
      </c>
      <c r="E365" s="17">
        <f t="shared" si="5"/>
        <v>58000</v>
      </c>
    </row>
    <row r="366" spans="1:5" x14ac:dyDescent="0.35">
      <c r="A366" s="13">
        <v>43250</v>
      </c>
      <c r="B366" s="5" t="s">
        <v>34</v>
      </c>
      <c r="C366" s="5">
        <v>1</v>
      </c>
      <c r="D366" s="17">
        <v>48000</v>
      </c>
      <c r="E366" s="17">
        <f t="shared" si="5"/>
        <v>48000</v>
      </c>
    </row>
    <row r="367" spans="1:5" x14ac:dyDescent="0.35">
      <c r="A367" s="13">
        <v>43251</v>
      </c>
      <c r="E367" s="17">
        <f t="shared" si="5"/>
        <v>0</v>
      </c>
    </row>
    <row r="368" spans="1:5" x14ac:dyDescent="0.35">
      <c r="A368" s="13">
        <v>43251</v>
      </c>
      <c r="B368" s="5" t="s">
        <v>587</v>
      </c>
      <c r="C368" s="5">
        <v>28</v>
      </c>
      <c r="D368" s="17">
        <v>1600</v>
      </c>
      <c r="E368" s="17">
        <f t="shared" si="5"/>
        <v>44800</v>
      </c>
    </row>
    <row r="369" spans="1:5" x14ac:dyDescent="0.35">
      <c r="A369" s="13">
        <v>43251</v>
      </c>
      <c r="B369" s="5" t="s">
        <v>194</v>
      </c>
      <c r="C369" s="5">
        <v>8</v>
      </c>
      <c r="D369" s="17">
        <v>2000</v>
      </c>
      <c r="E369" s="17">
        <f t="shared" si="5"/>
        <v>16000</v>
      </c>
    </row>
    <row r="370" spans="1:5" x14ac:dyDescent="0.35">
      <c r="A370" s="13">
        <v>43251</v>
      </c>
      <c r="B370" s="5" t="s">
        <v>43</v>
      </c>
      <c r="C370" s="5">
        <v>2</v>
      </c>
      <c r="D370" s="17">
        <v>47000</v>
      </c>
      <c r="E370" s="17">
        <f t="shared" si="5"/>
        <v>94000</v>
      </c>
    </row>
    <row r="371" spans="1:5" x14ac:dyDescent="0.35">
      <c r="A371" s="13">
        <v>43251</v>
      </c>
      <c r="B371" s="5" t="s">
        <v>383</v>
      </c>
      <c r="C371" s="5">
        <v>10</v>
      </c>
      <c r="D371" s="17">
        <v>4000</v>
      </c>
      <c r="E371" s="17">
        <f t="shared" si="5"/>
        <v>40000</v>
      </c>
    </row>
    <row r="372" spans="1:5" x14ac:dyDescent="0.35">
      <c r="A372" s="13">
        <v>43251</v>
      </c>
      <c r="B372" s="5" t="s">
        <v>178</v>
      </c>
      <c r="C372" s="5">
        <v>30</v>
      </c>
      <c r="D372" s="17">
        <v>47000</v>
      </c>
      <c r="E372" s="17">
        <f t="shared" si="5"/>
        <v>1410000</v>
      </c>
    </row>
    <row r="373" spans="1:5" x14ac:dyDescent="0.35">
      <c r="A373" s="13">
        <v>43251</v>
      </c>
      <c r="B373" s="5" t="s">
        <v>118</v>
      </c>
      <c r="C373" s="5">
        <v>7</v>
      </c>
      <c r="D373" s="17">
        <v>45000</v>
      </c>
      <c r="E373" s="17">
        <f t="shared" si="5"/>
        <v>315000</v>
      </c>
    </row>
    <row r="374" spans="1:5" x14ac:dyDescent="0.35">
      <c r="A374" s="13">
        <v>43251</v>
      </c>
      <c r="B374" s="5" t="s">
        <v>321</v>
      </c>
      <c r="C374" s="5">
        <v>9</v>
      </c>
      <c r="D374" s="17">
        <v>53500</v>
      </c>
      <c r="E374" s="17">
        <f t="shared" si="5"/>
        <v>481500</v>
      </c>
    </row>
    <row r="375" spans="1:5" x14ac:dyDescent="0.35">
      <c r="A375" s="13">
        <v>43251</v>
      </c>
      <c r="B375" s="5" t="s">
        <v>588</v>
      </c>
      <c r="C375" s="5">
        <v>5</v>
      </c>
      <c r="D375" s="17">
        <v>7500</v>
      </c>
      <c r="E375" s="17">
        <f t="shared" si="5"/>
        <v>37500</v>
      </c>
    </row>
    <row r="376" spans="1:5" x14ac:dyDescent="0.35">
      <c r="A376" s="13">
        <v>43251</v>
      </c>
      <c r="B376" s="5" t="s">
        <v>589</v>
      </c>
      <c r="C376" s="5">
        <v>28</v>
      </c>
      <c r="D376" s="17">
        <v>7500</v>
      </c>
      <c r="E376" s="17">
        <f t="shared" si="5"/>
        <v>210000</v>
      </c>
    </row>
    <row r="377" spans="1:5" x14ac:dyDescent="0.35">
      <c r="A377" s="13">
        <v>43251</v>
      </c>
      <c r="B377" s="5" t="s">
        <v>590</v>
      </c>
      <c r="C377" s="5">
        <v>7</v>
      </c>
      <c r="D377" s="17">
        <v>54000</v>
      </c>
      <c r="E377" s="17">
        <f t="shared" si="5"/>
        <v>378000</v>
      </c>
    </row>
    <row r="378" spans="1:5" x14ac:dyDescent="0.35">
      <c r="A378" s="13">
        <v>43251</v>
      </c>
      <c r="B378" s="5" t="s">
        <v>591</v>
      </c>
      <c r="C378" s="5">
        <v>3</v>
      </c>
      <c r="D378" s="17">
        <v>56000</v>
      </c>
      <c r="E378" s="17">
        <f t="shared" si="5"/>
        <v>168000</v>
      </c>
    </row>
    <row r="379" spans="1:5" x14ac:dyDescent="0.35">
      <c r="A379" s="13">
        <v>43251</v>
      </c>
      <c r="B379" s="5" t="s">
        <v>348</v>
      </c>
      <c r="C379" s="5">
        <v>2</v>
      </c>
      <c r="D379" s="17">
        <v>54000</v>
      </c>
      <c r="E379" s="17">
        <f t="shared" si="5"/>
        <v>108000</v>
      </c>
    </row>
    <row r="380" spans="1:5" x14ac:dyDescent="0.35">
      <c r="A380" s="13">
        <v>43251</v>
      </c>
      <c r="B380" s="5" t="s">
        <v>586</v>
      </c>
      <c r="C380" s="5">
        <v>1</v>
      </c>
      <c r="D380" s="17">
        <v>12000</v>
      </c>
      <c r="E380" s="17">
        <f t="shared" si="5"/>
        <v>12000</v>
      </c>
    </row>
  </sheetData>
  <pageMargins left="0.7" right="0.7" top="0.75" bottom="0.75" header="0.3" footer="0.3"/>
  <pageSetup orientation="portrait" horizontalDpi="4294967294" verticalDpi="4294967294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70"/>
  <sheetViews>
    <sheetView workbookViewId="0">
      <selection activeCell="D11" sqref="D11"/>
    </sheetView>
  </sheetViews>
  <sheetFormatPr defaultRowHeight="15.5" x14ac:dyDescent="0.35"/>
  <cols>
    <col min="1" max="1" width="12.75" style="13" customWidth="1"/>
    <col min="2" max="2" width="27.5" style="5" customWidth="1"/>
    <col min="3" max="3" width="12.58203125" style="5" customWidth="1"/>
    <col min="4" max="5" width="15.25" style="17" customWidth="1"/>
    <col min="6" max="6" width="18.08203125" style="13" customWidth="1"/>
    <col min="7" max="7" width="17.9140625" style="5" customWidth="1"/>
    <col min="8" max="8" width="15.1640625" style="17" customWidth="1"/>
  </cols>
  <sheetData>
    <row r="1" spans="1:8" x14ac:dyDescent="0.35">
      <c r="A1" s="13" t="s">
        <v>834</v>
      </c>
      <c r="B1" s="5" t="s">
        <v>835</v>
      </c>
      <c r="C1" s="5" t="s">
        <v>836</v>
      </c>
      <c r="D1" s="17" t="s">
        <v>837</v>
      </c>
      <c r="E1" s="14" t="s">
        <v>838</v>
      </c>
      <c r="F1" s="13" t="s">
        <v>839</v>
      </c>
      <c r="G1" s="5" t="s">
        <v>840</v>
      </c>
      <c r="H1" s="17" t="s">
        <v>841</v>
      </c>
    </row>
    <row r="2" spans="1:8" x14ac:dyDescent="0.35">
      <c r="A2" s="13">
        <v>43252</v>
      </c>
    </row>
    <row r="3" spans="1:8" x14ac:dyDescent="0.35">
      <c r="A3" s="13">
        <v>43252</v>
      </c>
      <c r="B3" s="5" t="s">
        <v>34</v>
      </c>
      <c r="C3" s="5">
        <v>2</v>
      </c>
      <c r="D3" s="17">
        <v>48000</v>
      </c>
      <c r="E3" s="17">
        <f>D3*C3</f>
        <v>96000</v>
      </c>
      <c r="F3" s="13">
        <v>43252</v>
      </c>
      <c r="G3" s="5" t="s">
        <v>236</v>
      </c>
      <c r="H3" s="17">
        <v>150000</v>
      </c>
    </row>
    <row r="4" spans="1:8" x14ac:dyDescent="0.35">
      <c r="A4" s="13">
        <v>43252</v>
      </c>
      <c r="B4" s="5" t="s">
        <v>201</v>
      </c>
      <c r="C4" s="5">
        <v>2</v>
      </c>
      <c r="D4" s="17">
        <v>47000</v>
      </c>
      <c r="E4" s="17">
        <f t="shared" ref="E4:E67" si="0">D4*C4</f>
        <v>94000</v>
      </c>
    </row>
    <row r="5" spans="1:8" x14ac:dyDescent="0.35">
      <c r="A5" s="13">
        <v>43252</v>
      </c>
      <c r="B5" s="5" t="s">
        <v>592</v>
      </c>
      <c r="C5" s="5">
        <v>10</v>
      </c>
      <c r="D5" s="17">
        <v>1600</v>
      </c>
      <c r="E5" s="17">
        <f t="shared" si="0"/>
        <v>16000</v>
      </c>
      <c r="F5" s="13">
        <v>43253</v>
      </c>
      <c r="G5" s="5" t="s">
        <v>77</v>
      </c>
      <c r="H5" s="17">
        <v>390000</v>
      </c>
    </row>
    <row r="6" spans="1:8" x14ac:dyDescent="0.35">
      <c r="A6" s="13">
        <v>43252</v>
      </c>
      <c r="B6" s="5" t="s">
        <v>382</v>
      </c>
      <c r="C6" s="5">
        <v>10</v>
      </c>
      <c r="D6" s="17">
        <v>56000</v>
      </c>
      <c r="E6" s="17">
        <f t="shared" si="0"/>
        <v>560000</v>
      </c>
    </row>
    <row r="7" spans="1:8" x14ac:dyDescent="0.35">
      <c r="A7" s="13">
        <v>43252</v>
      </c>
      <c r="B7" s="5" t="s">
        <v>226</v>
      </c>
      <c r="C7" s="5">
        <v>4</v>
      </c>
      <c r="D7" s="17">
        <v>50000</v>
      </c>
      <c r="E7" s="17">
        <f t="shared" si="0"/>
        <v>200000</v>
      </c>
      <c r="F7" s="13">
        <v>43255</v>
      </c>
      <c r="G7" s="5" t="s">
        <v>14</v>
      </c>
      <c r="H7" s="17">
        <v>18000</v>
      </c>
    </row>
    <row r="8" spans="1:8" x14ac:dyDescent="0.35">
      <c r="A8" s="13">
        <v>43253</v>
      </c>
      <c r="E8" s="17">
        <f t="shared" si="0"/>
        <v>0</v>
      </c>
      <c r="F8" s="13">
        <v>43255</v>
      </c>
      <c r="G8" s="5" t="s">
        <v>608</v>
      </c>
      <c r="H8" s="17">
        <v>100000</v>
      </c>
    </row>
    <row r="9" spans="1:8" x14ac:dyDescent="0.35">
      <c r="A9" s="13">
        <v>43253</v>
      </c>
      <c r="B9" s="5" t="s">
        <v>606</v>
      </c>
      <c r="C9" s="5">
        <v>22</v>
      </c>
      <c r="D9" s="17">
        <v>50000</v>
      </c>
      <c r="E9" s="17">
        <f t="shared" si="0"/>
        <v>1100000</v>
      </c>
    </row>
    <row r="10" spans="1:8" x14ac:dyDescent="0.35">
      <c r="A10" s="13">
        <v>43253</v>
      </c>
      <c r="B10" s="5" t="s">
        <v>382</v>
      </c>
      <c r="C10" s="5">
        <v>3</v>
      </c>
      <c r="D10" s="17">
        <v>47000</v>
      </c>
      <c r="E10" s="17">
        <f t="shared" si="0"/>
        <v>141000</v>
      </c>
      <c r="F10" s="13">
        <v>43256</v>
      </c>
      <c r="G10" s="5" t="s">
        <v>618</v>
      </c>
      <c r="H10" s="17">
        <v>1623000</v>
      </c>
    </row>
    <row r="11" spans="1:8" x14ac:dyDescent="0.35">
      <c r="A11" s="13">
        <v>43253</v>
      </c>
      <c r="B11" s="5" t="s">
        <v>136</v>
      </c>
      <c r="C11" s="5">
        <v>3</v>
      </c>
      <c r="D11" s="17">
        <v>57000</v>
      </c>
      <c r="E11" s="17">
        <f t="shared" si="0"/>
        <v>171000</v>
      </c>
      <c r="F11" s="13">
        <v>43256</v>
      </c>
      <c r="G11" s="5" t="s">
        <v>236</v>
      </c>
      <c r="H11" s="17">
        <v>20000</v>
      </c>
    </row>
    <row r="12" spans="1:8" x14ac:dyDescent="0.35">
      <c r="A12" s="13">
        <v>43253</v>
      </c>
      <c r="B12" s="5" t="s">
        <v>605</v>
      </c>
      <c r="C12" s="5">
        <v>4</v>
      </c>
      <c r="D12" s="17">
        <v>49000</v>
      </c>
      <c r="E12" s="17">
        <f t="shared" si="0"/>
        <v>196000</v>
      </c>
      <c r="F12" s="13">
        <v>43256</v>
      </c>
      <c r="G12" s="5" t="s">
        <v>619</v>
      </c>
      <c r="H12" s="17">
        <v>12000</v>
      </c>
    </row>
    <row r="13" spans="1:8" x14ac:dyDescent="0.35">
      <c r="A13" s="13">
        <v>43253</v>
      </c>
      <c r="B13" s="5" t="s">
        <v>201</v>
      </c>
      <c r="C13" s="5">
        <v>5</v>
      </c>
      <c r="D13" s="17">
        <v>47000</v>
      </c>
      <c r="E13" s="17">
        <f t="shared" si="0"/>
        <v>235000</v>
      </c>
    </row>
    <row r="14" spans="1:8" x14ac:dyDescent="0.35">
      <c r="A14" s="13">
        <v>43253</v>
      </c>
      <c r="B14" s="5" t="s">
        <v>604</v>
      </c>
      <c r="C14" s="5">
        <v>4</v>
      </c>
      <c r="D14" s="17">
        <v>48000</v>
      </c>
      <c r="E14" s="17">
        <f t="shared" si="0"/>
        <v>192000</v>
      </c>
      <c r="F14" s="13">
        <v>43257</v>
      </c>
      <c r="G14" s="5" t="s">
        <v>620</v>
      </c>
      <c r="H14" s="17">
        <v>190000</v>
      </c>
    </row>
    <row r="15" spans="1:8" x14ac:dyDescent="0.35">
      <c r="A15" s="13">
        <v>43253</v>
      </c>
      <c r="B15" s="5" t="s">
        <v>603</v>
      </c>
      <c r="C15" s="5">
        <v>3</v>
      </c>
      <c r="D15" s="17">
        <v>21000</v>
      </c>
      <c r="E15" s="17">
        <f t="shared" si="0"/>
        <v>63000</v>
      </c>
      <c r="F15" s="13">
        <v>43257</v>
      </c>
      <c r="G15" s="5" t="s">
        <v>621</v>
      </c>
      <c r="H15" s="17">
        <v>1700000</v>
      </c>
    </row>
    <row r="16" spans="1:8" x14ac:dyDescent="0.35">
      <c r="A16" s="13">
        <v>43253</v>
      </c>
      <c r="B16" s="5" t="s">
        <v>407</v>
      </c>
      <c r="C16" s="5">
        <v>23</v>
      </c>
      <c r="D16" s="17">
        <v>3500</v>
      </c>
      <c r="E16" s="17">
        <f t="shared" si="0"/>
        <v>80500</v>
      </c>
    </row>
    <row r="17" spans="1:8" x14ac:dyDescent="0.35">
      <c r="A17" s="13">
        <v>43253</v>
      </c>
      <c r="B17" s="5" t="s">
        <v>607</v>
      </c>
      <c r="C17" s="5">
        <v>3</v>
      </c>
      <c r="D17" s="17">
        <v>48000</v>
      </c>
      <c r="E17" s="17">
        <f t="shared" si="0"/>
        <v>144000</v>
      </c>
      <c r="F17" s="13">
        <v>43258</v>
      </c>
      <c r="G17" s="5" t="s">
        <v>308</v>
      </c>
      <c r="H17" s="17">
        <v>150000</v>
      </c>
    </row>
    <row r="18" spans="1:8" x14ac:dyDescent="0.35">
      <c r="A18" s="13">
        <v>43253</v>
      </c>
      <c r="B18" s="5" t="s">
        <v>599</v>
      </c>
      <c r="C18" s="5">
        <v>2</v>
      </c>
      <c r="D18" s="17">
        <v>46000</v>
      </c>
      <c r="E18" s="17">
        <f t="shared" si="0"/>
        <v>92000</v>
      </c>
    </row>
    <row r="19" spans="1:8" x14ac:dyDescent="0.35">
      <c r="A19" s="13">
        <v>43253</v>
      </c>
      <c r="B19" s="5" t="s">
        <v>600</v>
      </c>
      <c r="C19" s="5">
        <v>2</v>
      </c>
      <c r="D19" s="17">
        <v>60000</v>
      </c>
      <c r="E19" s="17">
        <f t="shared" si="0"/>
        <v>120000</v>
      </c>
      <c r="F19" s="13">
        <v>43259</v>
      </c>
      <c r="G19" s="5" t="s">
        <v>626</v>
      </c>
      <c r="H19" s="17">
        <v>18000</v>
      </c>
    </row>
    <row r="20" spans="1:8" x14ac:dyDescent="0.35">
      <c r="A20" s="13">
        <v>43253</v>
      </c>
      <c r="B20" s="5" t="s">
        <v>601</v>
      </c>
      <c r="C20" s="5">
        <v>3</v>
      </c>
      <c r="D20" s="17">
        <v>62000</v>
      </c>
      <c r="E20" s="17">
        <f t="shared" si="0"/>
        <v>186000</v>
      </c>
    </row>
    <row r="21" spans="1:8" x14ac:dyDescent="0.35">
      <c r="A21" s="13">
        <v>43253</v>
      </c>
      <c r="B21" s="5" t="s">
        <v>602</v>
      </c>
      <c r="C21" s="5">
        <v>3</v>
      </c>
      <c r="D21" s="17">
        <v>48000</v>
      </c>
      <c r="E21" s="17">
        <f t="shared" si="0"/>
        <v>144000</v>
      </c>
      <c r="F21" s="13">
        <v>43260</v>
      </c>
      <c r="G21" s="5" t="s">
        <v>77</v>
      </c>
      <c r="H21" s="17">
        <v>390000</v>
      </c>
    </row>
    <row r="22" spans="1:8" x14ac:dyDescent="0.35">
      <c r="A22" s="13">
        <v>43253</v>
      </c>
      <c r="B22" s="5" t="s">
        <v>72</v>
      </c>
      <c r="C22" s="5">
        <v>6</v>
      </c>
      <c r="D22" s="17">
        <v>43000</v>
      </c>
      <c r="E22" s="17">
        <f t="shared" si="0"/>
        <v>258000</v>
      </c>
      <c r="F22" s="13">
        <v>43260</v>
      </c>
      <c r="G22" s="5" t="s">
        <v>631</v>
      </c>
      <c r="H22" s="17">
        <v>55000</v>
      </c>
    </row>
    <row r="23" spans="1:8" x14ac:dyDescent="0.35">
      <c r="A23" s="13">
        <v>43253</v>
      </c>
      <c r="B23" s="5" t="s">
        <v>529</v>
      </c>
      <c r="C23" s="5">
        <v>5</v>
      </c>
      <c r="D23" s="17">
        <v>39000</v>
      </c>
      <c r="E23" s="17">
        <f t="shared" si="0"/>
        <v>195000</v>
      </c>
      <c r="F23" s="13">
        <v>43260</v>
      </c>
      <c r="G23" s="5" t="s">
        <v>632</v>
      </c>
      <c r="H23" s="17">
        <v>6000</v>
      </c>
    </row>
    <row r="24" spans="1:8" x14ac:dyDescent="0.35">
      <c r="A24" s="13">
        <v>43253</v>
      </c>
      <c r="B24" s="5" t="s">
        <v>595</v>
      </c>
      <c r="C24" s="5">
        <v>2</v>
      </c>
      <c r="D24" s="17">
        <v>22000</v>
      </c>
      <c r="E24" s="17">
        <f t="shared" si="0"/>
        <v>44000</v>
      </c>
    </row>
    <row r="25" spans="1:8" x14ac:dyDescent="0.35">
      <c r="A25" s="13">
        <v>43253</v>
      </c>
      <c r="B25" s="5" t="s">
        <v>596</v>
      </c>
      <c r="C25" s="5">
        <v>1</v>
      </c>
      <c r="D25" s="17">
        <v>22000</v>
      </c>
      <c r="E25" s="17">
        <f t="shared" si="0"/>
        <v>22000</v>
      </c>
      <c r="F25" s="13">
        <v>43262</v>
      </c>
      <c r="G25" s="5" t="s">
        <v>236</v>
      </c>
      <c r="H25" s="17">
        <v>30000</v>
      </c>
    </row>
    <row r="26" spans="1:8" x14ac:dyDescent="0.35">
      <c r="A26" s="13">
        <v>43253</v>
      </c>
      <c r="B26" s="5" t="s">
        <v>597</v>
      </c>
      <c r="C26" s="5">
        <v>2</v>
      </c>
      <c r="D26" s="17">
        <v>22000</v>
      </c>
      <c r="E26" s="17">
        <f t="shared" si="0"/>
        <v>44000</v>
      </c>
      <c r="F26" s="13">
        <v>43262</v>
      </c>
      <c r="G26" s="5" t="s">
        <v>14</v>
      </c>
      <c r="H26" s="17">
        <v>17000</v>
      </c>
    </row>
    <row r="27" spans="1:8" x14ac:dyDescent="0.35">
      <c r="A27" s="13">
        <v>43253</v>
      </c>
      <c r="B27" s="5" t="s">
        <v>598</v>
      </c>
      <c r="C27" s="5">
        <v>2</v>
      </c>
      <c r="D27" s="17">
        <v>2500</v>
      </c>
      <c r="E27" s="17">
        <f t="shared" si="0"/>
        <v>5000</v>
      </c>
    </row>
    <row r="28" spans="1:8" x14ac:dyDescent="0.35">
      <c r="A28" s="13">
        <v>43253</v>
      </c>
      <c r="B28" s="5" t="s">
        <v>594</v>
      </c>
      <c r="C28" s="5">
        <v>38</v>
      </c>
      <c r="D28" s="17">
        <v>2500</v>
      </c>
      <c r="E28" s="17">
        <f t="shared" si="0"/>
        <v>95000</v>
      </c>
      <c r="F28" s="13">
        <v>43263</v>
      </c>
      <c r="G28" s="5" t="s">
        <v>507</v>
      </c>
      <c r="H28" s="17">
        <v>30000</v>
      </c>
    </row>
    <row r="29" spans="1:8" x14ac:dyDescent="0.35">
      <c r="A29" s="13">
        <v>43253</v>
      </c>
      <c r="B29" s="5" t="s">
        <v>593</v>
      </c>
      <c r="C29" s="5">
        <v>1</v>
      </c>
      <c r="D29" s="17">
        <v>22000</v>
      </c>
      <c r="E29" s="17">
        <f t="shared" si="0"/>
        <v>22000</v>
      </c>
    </row>
    <row r="30" spans="1:8" x14ac:dyDescent="0.35">
      <c r="A30" s="13">
        <v>43255</v>
      </c>
      <c r="E30" s="17">
        <f t="shared" si="0"/>
        <v>0</v>
      </c>
      <c r="F30" s="13">
        <v>43264</v>
      </c>
      <c r="G30" s="5" t="s">
        <v>77</v>
      </c>
      <c r="H30" s="17">
        <v>200000</v>
      </c>
    </row>
    <row r="31" spans="1:8" x14ac:dyDescent="0.35">
      <c r="A31" s="13">
        <v>43255</v>
      </c>
      <c r="B31" s="5" t="s">
        <v>529</v>
      </c>
      <c r="C31" s="5">
        <v>1</v>
      </c>
      <c r="D31" s="17">
        <v>43000</v>
      </c>
      <c r="E31" s="17">
        <f t="shared" si="0"/>
        <v>43000</v>
      </c>
    </row>
    <row r="32" spans="1:8" x14ac:dyDescent="0.35">
      <c r="A32" s="13">
        <v>43255</v>
      </c>
      <c r="B32" s="5" t="s">
        <v>609</v>
      </c>
      <c r="C32" s="5">
        <v>1</v>
      </c>
      <c r="D32" s="17">
        <v>45000</v>
      </c>
      <c r="E32" s="17">
        <f t="shared" si="0"/>
        <v>45000</v>
      </c>
      <c r="F32" s="13">
        <v>43271</v>
      </c>
      <c r="G32" s="5" t="s">
        <v>308</v>
      </c>
      <c r="H32" s="17">
        <v>150000</v>
      </c>
    </row>
    <row r="33" spans="1:8" x14ac:dyDescent="0.35">
      <c r="A33" s="13">
        <v>43255</v>
      </c>
      <c r="B33" s="5" t="s">
        <v>8</v>
      </c>
      <c r="C33" s="5">
        <v>5</v>
      </c>
      <c r="D33" s="17">
        <v>49500</v>
      </c>
      <c r="E33" s="17">
        <f t="shared" si="0"/>
        <v>247500</v>
      </c>
      <c r="F33" s="13">
        <v>43271</v>
      </c>
      <c r="G33" s="5" t="s">
        <v>121</v>
      </c>
      <c r="H33" s="17">
        <v>100000</v>
      </c>
    </row>
    <row r="34" spans="1:8" x14ac:dyDescent="0.35">
      <c r="A34" s="13">
        <v>43255</v>
      </c>
      <c r="B34" s="5" t="s">
        <v>610</v>
      </c>
      <c r="C34" s="5">
        <v>2</v>
      </c>
      <c r="D34" s="17">
        <v>56000</v>
      </c>
      <c r="E34" s="17">
        <f t="shared" si="0"/>
        <v>112000</v>
      </c>
    </row>
    <row r="35" spans="1:8" x14ac:dyDescent="0.35">
      <c r="A35" s="13">
        <v>43255</v>
      </c>
      <c r="B35" s="5" t="s">
        <v>606</v>
      </c>
      <c r="C35" s="5">
        <v>3</v>
      </c>
      <c r="D35" s="17">
        <v>45500</v>
      </c>
      <c r="E35" s="17">
        <f t="shared" si="0"/>
        <v>136500</v>
      </c>
      <c r="F35" s="13">
        <v>43272</v>
      </c>
      <c r="G35" s="5" t="s">
        <v>270</v>
      </c>
      <c r="H35" s="17">
        <v>30000</v>
      </c>
    </row>
    <row r="36" spans="1:8" x14ac:dyDescent="0.35">
      <c r="A36" s="13">
        <v>43255</v>
      </c>
      <c r="B36" s="5" t="s">
        <v>611</v>
      </c>
      <c r="C36" s="5">
        <v>2</v>
      </c>
      <c r="D36" s="17">
        <v>22000</v>
      </c>
      <c r="E36" s="17">
        <f t="shared" si="0"/>
        <v>44000</v>
      </c>
    </row>
    <row r="37" spans="1:8" x14ac:dyDescent="0.35">
      <c r="A37" s="13">
        <v>43255</v>
      </c>
      <c r="B37" s="5" t="s">
        <v>200</v>
      </c>
      <c r="C37" s="5">
        <v>3</v>
      </c>
      <c r="D37" s="17">
        <v>46000</v>
      </c>
      <c r="E37" s="17">
        <f t="shared" si="0"/>
        <v>138000</v>
      </c>
      <c r="F37" s="13">
        <v>43274</v>
      </c>
      <c r="G37" s="5" t="s">
        <v>236</v>
      </c>
      <c r="H37" s="17">
        <v>150000</v>
      </c>
    </row>
    <row r="38" spans="1:8" x14ac:dyDescent="0.35">
      <c r="A38" s="13">
        <v>43255</v>
      </c>
      <c r="B38" s="5" t="s">
        <v>92</v>
      </c>
      <c r="C38" s="5">
        <v>290</v>
      </c>
      <c r="D38" s="17">
        <v>1000</v>
      </c>
      <c r="E38" s="17">
        <f t="shared" si="0"/>
        <v>290000</v>
      </c>
    </row>
    <row r="39" spans="1:8" x14ac:dyDescent="0.35">
      <c r="A39" s="13">
        <v>43255</v>
      </c>
      <c r="B39" s="5" t="s">
        <v>27</v>
      </c>
      <c r="C39" s="5">
        <v>290</v>
      </c>
      <c r="D39" s="17">
        <v>1000</v>
      </c>
      <c r="E39" s="17">
        <f t="shared" si="0"/>
        <v>290000</v>
      </c>
      <c r="F39" s="13">
        <v>43275</v>
      </c>
      <c r="G39" s="5" t="s">
        <v>507</v>
      </c>
      <c r="H39" s="17">
        <v>30000</v>
      </c>
    </row>
    <row r="40" spans="1:8" x14ac:dyDescent="0.35">
      <c r="A40" s="13">
        <v>43255</v>
      </c>
      <c r="B40" s="5" t="s">
        <v>87</v>
      </c>
      <c r="C40" s="5">
        <v>235</v>
      </c>
      <c r="D40" s="17">
        <v>1000</v>
      </c>
      <c r="E40" s="17">
        <f t="shared" si="0"/>
        <v>235000</v>
      </c>
    </row>
    <row r="41" spans="1:8" x14ac:dyDescent="0.35">
      <c r="A41" s="13">
        <v>43255</v>
      </c>
      <c r="B41" s="5" t="s">
        <v>612</v>
      </c>
      <c r="C41" s="5">
        <v>313</v>
      </c>
      <c r="D41" s="17">
        <v>1000</v>
      </c>
      <c r="E41" s="17">
        <f t="shared" si="0"/>
        <v>313000</v>
      </c>
      <c r="F41" s="13">
        <v>43281</v>
      </c>
      <c r="G41" s="5" t="s">
        <v>77</v>
      </c>
      <c r="H41" s="17">
        <v>390000</v>
      </c>
    </row>
    <row r="42" spans="1:8" x14ac:dyDescent="0.35">
      <c r="A42" s="13">
        <v>43255</v>
      </c>
      <c r="B42" s="5" t="s">
        <v>103</v>
      </c>
      <c r="C42" s="5">
        <v>147</v>
      </c>
      <c r="D42" s="17">
        <v>1000</v>
      </c>
      <c r="E42" s="17">
        <f t="shared" si="0"/>
        <v>147000</v>
      </c>
      <c r="F42" s="13">
        <v>43281</v>
      </c>
      <c r="G42" s="5" t="s">
        <v>236</v>
      </c>
      <c r="H42" s="17">
        <v>150000</v>
      </c>
    </row>
    <row r="43" spans="1:8" x14ac:dyDescent="0.35">
      <c r="A43" s="13">
        <v>43255</v>
      </c>
      <c r="B43" s="5" t="s">
        <v>615</v>
      </c>
      <c r="C43" s="5">
        <v>12</v>
      </c>
      <c r="D43" s="17">
        <v>58500</v>
      </c>
      <c r="E43" s="17">
        <f t="shared" si="0"/>
        <v>702000</v>
      </c>
      <c r="F43" s="13">
        <v>43281</v>
      </c>
      <c r="G43" s="5" t="s">
        <v>665</v>
      </c>
      <c r="H43" s="17">
        <v>15000</v>
      </c>
    </row>
    <row r="44" spans="1:8" x14ac:dyDescent="0.35">
      <c r="A44" s="13">
        <v>43255</v>
      </c>
      <c r="B44" s="5" t="s">
        <v>614</v>
      </c>
      <c r="C44" s="5">
        <v>10</v>
      </c>
      <c r="D44" s="17">
        <v>56000</v>
      </c>
      <c r="E44" s="17">
        <f t="shared" si="0"/>
        <v>560000</v>
      </c>
      <c r="F44" s="13" t="s">
        <v>838</v>
      </c>
      <c r="H44" s="17">
        <f>SUM(H2:H43)</f>
        <v>6114000</v>
      </c>
    </row>
    <row r="45" spans="1:8" x14ac:dyDescent="0.35">
      <c r="A45" s="13">
        <v>43255</v>
      </c>
      <c r="B45" s="5" t="s">
        <v>591</v>
      </c>
      <c r="C45" s="5">
        <v>24</v>
      </c>
      <c r="D45" s="17">
        <v>56500</v>
      </c>
      <c r="E45" s="17">
        <f t="shared" si="0"/>
        <v>1356000</v>
      </c>
    </row>
    <row r="46" spans="1:8" x14ac:dyDescent="0.35">
      <c r="A46" s="13">
        <v>43255</v>
      </c>
      <c r="B46" s="5" t="s">
        <v>613</v>
      </c>
      <c r="C46" s="5">
        <v>2</v>
      </c>
      <c r="D46" s="17">
        <v>58000</v>
      </c>
      <c r="E46" s="17">
        <f t="shared" si="0"/>
        <v>116000</v>
      </c>
    </row>
    <row r="47" spans="1:8" x14ac:dyDescent="0.35">
      <c r="A47" s="13">
        <v>43256</v>
      </c>
      <c r="E47" s="17">
        <f t="shared" si="0"/>
        <v>0</v>
      </c>
    </row>
    <row r="48" spans="1:8" x14ac:dyDescent="0.35">
      <c r="A48" s="13">
        <v>43256</v>
      </c>
      <c r="B48" s="5" t="s">
        <v>4</v>
      </c>
      <c r="C48" s="5">
        <v>2</v>
      </c>
      <c r="D48" s="17">
        <v>38000</v>
      </c>
      <c r="E48" s="17">
        <f t="shared" si="0"/>
        <v>76000</v>
      </c>
    </row>
    <row r="49" spans="1:5" x14ac:dyDescent="0.35">
      <c r="A49" s="13">
        <v>43256</v>
      </c>
      <c r="B49" s="5" t="s">
        <v>543</v>
      </c>
      <c r="C49" s="5">
        <v>1</v>
      </c>
      <c r="D49" s="17">
        <v>15000</v>
      </c>
      <c r="E49" s="17">
        <f t="shared" si="0"/>
        <v>15000</v>
      </c>
    </row>
    <row r="50" spans="1:5" x14ac:dyDescent="0.35">
      <c r="A50" s="13">
        <v>43256</v>
      </c>
      <c r="B50" s="5" t="s">
        <v>28</v>
      </c>
      <c r="C50" s="5">
        <v>22</v>
      </c>
      <c r="D50" s="17">
        <v>2000</v>
      </c>
      <c r="E50" s="17">
        <f t="shared" si="0"/>
        <v>44000</v>
      </c>
    </row>
    <row r="51" spans="1:5" x14ac:dyDescent="0.35">
      <c r="A51" s="13">
        <v>43256</v>
      </c>
      <c r="B51" s="5" t="s">
        <v>616</v>
      </c>
      <c r="C51" s="5">
        <v>1</v>
      </c>
      <c r="D51" s="17">
        <v>12000</v>
      </c>
      <c r="E51" s="17">
        <f t="shared" si="0"/>
        <v>12000</v>
      </c>
    </row>
    <row r="52" spans="1:5" x14ac:dyDescent="0.35">
      <c r="A52" s="13">
        <v>43256</v>
      </c>
      <c r="B52" s="5" t="s">
        <v>613</v>
      </c>
      <c r="C52" s="5">
        <v>1</v>
      </c>
      <c r="D52" s="17">
        <v>58000</v>
      </c>
      <c r="E52" s="17">
        <f t="shared" si="0"/>
        <v>58000</v>
      </c>
    </row>
    <row r="53" spans="1:5" x14ac:dyDescent="0.35">
      <c r="A53" s="13">
        <v>43256</v>
      </c>
      <c r="B53" s="5" t="s">
        <v>92</v>
      </c>
      <c r="C53" s="5">
        <v>61</v>
      </c>
      <c r="D53" s="17">
        <v>1500</v>
      </c>
      <c r="E53" s="17">
        <f t="shared" si="0"/>
        <v>91500</v>
      </c>
    </row>
    <row r="54" spans="1:5" x14ac:dyDescent="0.35">
      <c r="A54" s="13">
        <v>43256</v>
      </c>
      <c r="B54" s="5" t="s">
        <v>617</v>
      </c>
      <c r="C54" s="5">
        <v>12</v>
      </c>
      <c r="D54" s="17">
        <v>55500</v>
      </c>
      <c r="E54" s="17">
        <f t="shared" si="0"/>
        <v>666000</v>
      </c>
    </row>
    <row r="55" spans="1:5" x14ac:dyDescent="0.35">
      <c r="A55" s="13">
        <v>43257</v>
      </c>
      <c r="E55" s="17">
        <f t="shared" si="0"/>
        <v>0</v>
      </c>
    </row>
    <row r="56" spans="1:5" x14ac:dyDescent="0.35">
      <c r="A56" s="13">
        <v>43257</v>
      </c>
      <c r="B56" s="5" t="s">
        <v>92</v>
      </c>
      <c r="C56" s="5">
        <v>20</v>
      </c>
      <c r="D56" s="17">
        <v>1500</v>
      </c>
      <c r="E56" s="17">
        <f t="shared" si="0"/>
        <v>30000</v>
      </c>
    </row>
    <row r="57" spans="1:5" x14ac:dyDescent="0.35">
      <c r="A57" s="13">
        <v>43257</v>
      </c>
      <c r="B57" s="5" t="s">
        <v>103</v>
      </c>
      <c r="C57" s="5">
        <v>10</v>
      </c>
      <c r="D57" s="17">
        <v>1500</v>
      </c>
      <c r="E57" s="17">
        <f t="shared" si="0"/>
        <v>15000</v>
      </c>
    </row>
    <row r="58" spans="1:5" x14ac:dyDescent="0.35">
      <c r="A58" s="13">
        <v>43257</v>
      </c>
      <c r="B58" s="5" t="s">
        <v>154</v>
      </c>
      <c r="C58" s="5">
        <v>11</v>
      </c>
      <c r="D58" s="17">
        <v>44000</v>
      </c>
      <c r="E58" s="17">
        <f t="shared" si="0"/>
        <v>484000</v>
      </c>
    </row>
    <row r="59" spans="1:5" x14ac:dyDescent="0.35">
      <c r="A59" s="13">
        <v>43257</v>
      </c>
      <c r="B59" s="5" t="s">
        <v>623</v>
      </c>
      <c r="C59" s="5">
        <v>1</v>
      </c>
      <c r="D59" s="17">
        <v>15000</v>
      </c>
      <c r="E59" s="17">
        <f t="shared" si="0"/>
        <v>15000</v>
      </c>
    </row>
    <row r="60" spans="1:5" x14ac:dyDescent="0.35">
      <c r="A60" s="13">
        <v>43257</v>
      </c>
      <c r="B60" s="5" t="s">
        <v>390</v>
      </c>
      <c r="C60" s="5">
        <v>10</v>
      </c>
      <c r="D60" s="17">
        <v>55000</v>
      </c>
      <c r="E60" s="17">
        <f t="shared" si="0"/>
        <v>550000</v>
      </c>
    </row>
    <row r="61" spans="1:5" x14ac:dyDescent="0.35">
      <c r="A61" s="13">
        <v>43257</v>
      </c>
      <c r="B61" s="5" t="s">
        <v>81</v>
      </c>
      <c r="C61" s="5">
        <v>1</v>
      </c>
      <c r="D61" s="17">
        <v>47000</v>
      </c>
      <c r="E61" s="17">
        <f t="shared" si="0"/>
        <v>47000</v>
      </c>
    </row>
    <row r="62" spans="1:5" x14ac:dyDescent="0.35">
      <c r="A62" s="13">
        <v>43257</v>
      </c>
      <c r="B62" s="5" t="s">
        <v>140</v>
      </c>
      <c r="C62" s="5">
        <v>2</v>
      </c>
      <c r="D62" s="17">
        <v>55500</v>
      </c>
      <c r="E62" s="17">
        <f t="shared" si="0"/>
        <v>111000</v>
      </c>
    </row>
    <row r="63" spans="1:5" x14ac:dyDescent="0.35">
      <c r="A63" s="13">
        <v>43257</v>
      </c>
      <c r="B63" s="5" t="s">
        <v>622</v>
      </c>
      <c r="C63" s="5">
        <v>40</v>
      </c>
      <c r="D63" s="17">
        <v>53000</v>
      </c>
      <c r="E63" s="17">
        <f t="shared" si="0"/>
        <v>2120000</v>
      </c>
    </row>
    <row r="64" spans="1:5" x14ac:dyDescent="0.35">
      <c r="A64" s="13">
        <v>43257</v>
      </c>
      <c r="B64" s="5" t="s">
        <v>215</v>
      </c>
      <c r="C64" s="5">
        <v>8</v>
      </c>
      <c r="D64" s="17">
        <v>47000</v>
      </c>
      <c r="E64" s="17">
        <f t="shared" si="0"/>
        <v>376000</v>
      </c>
    </row>
    <row r="65" spans="1:5" x14ac:dyDescent="0.35">
      <c r="A65" s="13">
        <v>43257</v>
      </c>
      <c r="B65" s="5" t="s">
        <v>446</v>
      </c>
      <c r="C65" s="5">
        <v>5</v>
      </c>
      <c r="D65" s="17">
        <v>48000</v>
      </c>
      <c r="E65" s="17">
        <f t="shared" si="0"/>
        <v>240000</v>
      </c>
    </row>
    <row r="66" spans="1:5" x14ac:dyDescent="0.35">
      <c r="A66" s="13">
        <v>43257</v>
      </c>
      <c r="B66" s="5" t="s">
        <v>60</v>
      </c>
      <c r="C66" s="5">
        <v>15</v>
      </c>
      <c r="D66" s="17">
        <v>54000</v>
      </c>
      <c r="E66" s="17">
        <f t="shared" si="0"/>
        <v>810000</v>
      </c>
    </row>
    <row r="67" spans="1:5" x14ac:dyDescent="0.35">
      <c r="A67" s="13">
        <v>43258</v>
      </c>
      <c r="E67" s="17">
        <f t="shared" si="0"/>
        <v>0</v>
      </c>
    </row>
    <row r="68" spans="1:5" x14ac:dyDescent="0.35">
      <c r="A68" s="13">
        <v>43258</v>
      </c>
      <c r="B68" s="5" t="s">
        <v>140</v>
      </c>
      <c r="C68" s="5">
        <v>1</v>
      </c>
      <c r="D68" s="17">
        <v>55500</v>
      </c>
      <c r="E68" s="17">
        <f t="shared" ref="E68:E131" si="1">D68*C68</f>
        <v>55500</v>
      </c>
    </row>
    <row r="69" spans="1:5" x14ac:dyDescent="0.35">
      <c r="A69" s="13">
        <v>43258</v>
      </c>
      <c r="B69" s="5" t="s">
        <v>125</v>
      </c>
      <c r="C69" s="5">
        <v>22</v>
      </c>
      <c r="D69" s="17">
        <v>38500</v>
      </c>
      <c r="E69" s="17">
        <f t="shared" si="1"/>
        <v>847000</v>
      </c>
    </row>
    <row r="70" spans="1:5" x14ac:dyDescent="0.35">
      <c r="A70" s="13">
        <v>43258</v>
      </c>
      <c r="B70" s="5" t="s">
        <v>624</v>
      </c>
      <c r="C70" s="5">
        <v>4</v>
      </c>
      <c r="D70" s="17">
        <v>50000</v>
      </c>
      <c r="E70" s="17">
        <f t="shared" si="1"/>
        <v>200000</v>
      </c>
    </row>
    <row r="71" spans="1:5" x14ac:dyDescent="0.35">
      <c r="A71" s="13">
        <v>43258</v>
      </c>
      <c r="B71" s="5" t="s">
        <v>615</v>
      </c>
      <c r="C71" s="5">
        <v>15</v>
      </c>
      <c r="D71" s="17">
        <v>58000</v>
      </c>
      <c r="E71" s="17">
        <f t="shared" si="1"/>
        <v>870000</v>
      </c>
    </row>
    <row r="72" spans="1:5" x14ac:dyDescent="0.35">
      <c r="A72" s="13">
        <v>43258</v>
      </c>
      <c r="B72" s="5" t="s">
        <v>404</v>
      </c>
      <c r="C72" s="5">
        <v>40</v>
      </c>
      <c r="D72" s="17">
        <v>48000</v>
      </c>
      <c r="E72" s="17">
        <f t="shared" si="1"/>
        <v>1920000</v>
      </c>
    </row>
    <row r="73" spans="1:5" x14ac:dyDescent="0.35">
      <c r="A73" s="13">
        <v>43258</v>
      </c>
      <c r="B73" s="5" t="s">
        <v>3</v>
      </c>
      <c r="C73" s="5">
        <v>4</v>
      </c>
      <c r="D73" s="17">
        <v>57000</v>
      </c>
      <c r="E73" s="17">
        <f t="shared" si="1"/>
        <v>228000</v>
      </c>
    </row>
    <row r="74" spans="1:5" x14ac:dyDescent="0.35">
      <c r="A74" s="13">
        <v>43258</v>
      </c>
      <c r="B74" s="5" t="s">
        <v>350</v>
      </c>
      <c r="C74" s="5">
        <v>1</v>
      </c>
      <c r="D74" s="17">
        <v>56000</v>
      </c>
      <c r="E74" s="17">
        <f t="shared" si="1"/>
        <v>56000</v>
      </c>
    </row>
    <row r="75" spans="1:5" x14ac:dyDescent="0.35">
      <c r="A75" s="13">
        <v>43258</v>
      </c>
      <c r="B75" s="5" t="s">
        <v>625</v>
      </c>
      <c r="C75" s="5">
        <v>36</v>
      </c>
      <c r="D75" s="17">
        <v>2600</v>
      </c>
      <c r="E75" s="17">
        <f t="shared" si="1"/>
        <v>93600</v>
      </c>
    </row>
    <row r="76" spans="1:5" x14ac:dyDescent="0.35">
      <c r="A76" s="13">
        <v>43259</v>
      </c>
      <c r="E76" s="17">
        <f t="shared" si="1"/>
        <v>0</v>
      </c>
    </row>
    <row r="77" spans="1:5" x14ac:dyDescent="0.35">
      <c r="A77" s="13">
        <v>43259</v>
      </c>
      <c r="B77" s="5" t="s">
        <v>350</v>
      </c>
      <c r="C77" s="5">
        <v>1</v>
      </c>
      <c r="D77" s="17">
        <v>56000</v>
      </c>
      <c r="E77" s="17">
        <f t="shared" si="1"/>
        <v>56000</v>
      </c>
    </row>
    <row r="78" spans="1:5" x14ac:dyDescent="0.35">
      <c r="A78" s="13">
        <v>43259</v>
      </c>
      <c r="B78" s="5" t="s">
        <v>613</v>
      </c>
      <c r="C78" s="5">
        <v>2</v>
      </c>
      <c r="D78" s="17">
        <v>58500</v>
      </c>
      <c r="E78" s="17">
        <f t="shared" si="1"/>
        <v>117000</v>
      </c>
    </row>
    <row r="79" spans="1:5" x14ac:dyDescent="0.35">
      <c r="A79" s="13">
        <v>43259</v>
      </c>
      <c r="B79" s="5" t="s">
        <v>627</v>
      </c>
      <c r="C79" s="5">
        <v>2</v>
      </c>
      <c r="D79" s="17">
        <v>46000</v>
      </c>
      <c r="E79" s="17">
        <f t="shared" si="1"/>
        <v>92000</v>
      </c>
    </row>
    <row r="80" spans="1:5" x14ac:dyDescent="0.35">
      <c r="A80" s="13">
        <v>43259</v>
      </c>
      <c r="B80" s="5" t="s">
        <v>628</v>
      </c>
      <c r="C80" s="5">
        <v>5</v>
      </c>
      <c r="D80" s="17">
        <v>53000</v>
      </c>
      <c r="E80" s="17">
        <f t="shared" si="1"/>
        <v>265000</v>
      </c>
    </row>
    <row r="81" spans="1:5" x14ac:dyDescent="0.35">
      <c r="A81" s="13">
        <v>43259</v>
      </c>
      <c r="B81" s="5" t="s">
        <v>321</v>
      </c>
      <c r="C81" s="5">
        <v>19</v>
      </c>
      <c r="D81" s="17">
        <v>53000</v>
      </c>
      <c r="E81" s="17">
        <f t="shared" si="1"/>
        <v>1007000</v>
      </c>
    </row>
    <row r="82" spans="1:5" x14ac:dyDescent="0.35">
      <c r="A82" s="13">
        <v>43259</v>
      </c>
      <c r="B82" s="5" t="s">
        <v>43</v>
      </c>
      <c r="C82" s="5">
        <v>1</v>
      </c>
      <c r="D82" s="17">
        <v>47000</v>
      </c>
      <c r="E82" s="17">
        <f t="shared" si="1"/>
        <v>47000</v>
      </c>
    </row>
    <row r="83" spans="1:5" x14ac:dyDescent="0.35">
      <c r="A83" s="13">
        <v>43260</v>
      </c>
      <c r="E83" s="17">
        <f t="shared" si="1"/>
        <v>0</v>
      </c>
    </row>
    <row r="84" spans="1:5" x14ac:dyDescent="0.35">
      <c r="A84" s="13">
        <v>43260</v>
      </c>
      <c r="B84" s="5" t="s">
        <v>541</v>
      </c>
      <c r="C84" s="5">
        <v>5</v>
      </c>
      <c r="D84" s="17">
        <v>1500</v>
      </c>
      <c r="E84" s="17">
        <f t="shared" si="1"/>
        <v>7500</v>
      </c>
    </row>
    <row r="85" spans="1:5" x14ac:dyDescent="0.35">
      <c r="A85" s="13">
        <v>43260</v>
      </c>
      <c r="B85" s="5" t="s">
        <v>114</v>
      </c>
      <c r="C85" s="5">
        <v>1</v>
      </c>
      <c r="D85" s="17">
        <v>15000</v>
      </c>
      <c r="E85" s="17">
        <f t="shared" si="1"/>
        <v>15000</v>
      </c>
    </row>
    <row r="86" spans="1:5" x14ac:dyDescent="0.35">
      <c r="A86" s="13">
        <v>43260</v>
      </c>
      <c r="B86" s="5" t="s">
        <v>75</v>
      </c>
      <c r="C86" s="5">
        <v>1</v>
      </c>
      <c r="D86" s="17">
        <v>50000</v>
      </c>
      <c r="E86" s="17">
        <f t="shared" si="1"/>
        <v>50000</v>
      </c>
    </row>
    <row r="87" spans="1:5" x14ac:dyDescent="0.35">
      <c r="A87" s="13">
        <v>43260</v>
      </c>
      <c r="B87" s="5" t="s">
        <v>330</v>
      </c>
      <c r="C87" s="5">
        <v>2</v>
      </c>
      <c r="D87" s="17">
        <v>15000</v>
      </c>
      <c r="E87" s="17">
        <f t="shared" si="1"/>
        <v>30000</v>
      </c>
    </row>
    <row r="88" spans="1:5" x14ac:dyDescent="0.35">
      <c r="A88" s="13">
        <v>43260</v>
      </c>
      <c r="B88" s="5" t="s">
        <v>541</v>
      </c>
      <c r="C88" s="5">
        <v>2</v>
      </c>
      <c r="D88" s="17">
        <v>1500</v>
      </c>
      <c r="E88" s="17">
        <f t="shared" si="1"/>
        <v>3000</v>
      </c>
    </row>
    <row r="89" spans="1:5" x14ac:dyDescent="0.35">
      <c r="A89" s="13">
        <v>43260</v>
      </c>
      <c r="B89" s="5" t="s">
        <v>125</v>
      </c>
      <c r="C89" s="5">
        <v>2</v>
      </c>
      <c r="D89" s="17">
        <v>38500</v>
      </c>
      <c r="E89" s="17">
        <f t="shared" si="1"/>
        <v>77000</v>
      </c>
    </row>
    <row r="90" spans="1:5" x14ac:dyDescent="0.35">
      <c r="A90" s="13">
        <v>43260</v>
      </c>
      <c r="B90" s="5" t="s">
        <v>92</v>
      </c>
      <c r="C90" s="5">
        <v>20</v>
      </c>
      <c r="D90" s="17">
        <v>1600</v>
      </c>
      <c r="E90" s="17">
        <f t="shared" si="1"/>
        <v>32000</v>
      </c>
    </row>
    <row r="91" spans="1:5" x14ac:dyDescent="0.35">
      <c r="A91" s="13">
        <v>43260</v>
      </c>
      <c r="B91" s="5" t="s">
        <v>613</v>
      </c>
      <c r="C91" s="5">
        <v>3</v>
      </c>
      <c r="D91" s="17">
        <v>58000</v>
      </c>
      <c r="E91" s="17">
        <f t="shared" si="1"/>
        <v>174000</v>
      </c>
    </row>
    <row r="92" spans="1:5" x14ac:dyDescent="0.35">
      <c r="A92" s="13">
        <v>43260</v>
      </c>
      <c r="B92" s="5" t="s">
        <v>225</v>
      </c>
      <c r="C92" s="5">
        <v>9</v>
      </c>
      <c r="D92" s="17">
        <v>56000</v>
      </c>
      <c r="E92" s="17">
        <f t="shared" si="1"/>
        <v>504000</v>
      </c>
    </row>
    <row r="93" spans="1:5" x14ac:dyDescent="0.35">
      <c r="A93" s="13">
        <v>43260</v>
      </c>
      <c r="B93" s="5" t="s">
        <v>630</v>
      </c>
      <c r="C93" s="5">
        <v>8</v>
      </c>
      <c r="D93" s="17">
        <v>45000</v>
      </c>
      <c r="E93" s="17">
        <f t="shared" si="1"/>
        <v>360000</v>
      </c>
    </row>
    <row r="94" spans="1:5" x14ac:dyDescent="0.35">
      <c r="A94" s="13">
        <v>43260</v>
      </c>
      <c r="B94" s="5" t="s">
        <v>583</v>
      </c>
      <c r="C94" s="5">
        <v>3</v>
      </c>
      <c r="D94" s="17">
        <v>50000</v>
      </c>
      <c r="E94" s="17">
        <f t="shared" si="1"/>
        <v>150000</v>
      </c>
    </row>
    <row r="95" spans="1:5" x14ac:dyDescent="0.35">
      <c r="A95" s="13">
        <v>43260</v>
      </c>
      <c r="B95" s="5" t="s">
        <v>579</v>
      </c>
      <c r="C95" s="5">
        <v>29</v>
      </c>
      <c r="D95" s="17">
        <v>35000</v>
      </c>
      <c r="E95" s="17">
        <f t="shared" si="1"/>
        <v>1015000</v>
      </c>
    </row>
    <row r="96" spans="1:5" x14ac:dyDescent="0.35">
      <c r="A96" s="13">
        <v>43260</v>
      </c>
      <c r="B96" s="5" t="s">
        <v>25</v>
      </c>
      <c r="C96" s="5">
        <v>4</v>
      </c>
      <c r="D96" s="17">
        <v>54000</v>
      </c>
      <c r="E96" s="17">
        <f t="shared" si="1"/>
        <v>216000</v>
      </c>
    </row>
    <row r="97" spans="1:5" x14ac:dyDescent="0.35">
      <c r="A97" s="13">
        <v>43260</v>
      </c>
      <c r="B97" s="5" t="s">
        <v>4</v>
      </c>
      <c r="C97" s="5">
        <v>20</v>
      </c>
      <c r="D97" s="17">
        <v>39000</v>
      </c>
      <c r="E97" s="17">
        <f t="shared" si="1"/>
        <v>780000</v>
      </c>
    </row>
    <row r="98" spans="1:5" x14ac:dyDescent="0.35">
      <c r="A98" s="13">
        <v>43260</v>
      </c>
      <c r="B98" s="5" t="s">
        <v>630</v>
      </c>
      <c r="C98" s="5">
        <v>12</v>
      </c>
      <c r="D98" s="17">
        <v>45000</v>
      </c>
      <c r="E98" s="17">
        <f t="shared" si="1"/>
        <v>540000</v>
      </c>
    </row>
    <row r="99" spans="1:5" x14ac:dyDescent="0.35">
      <c r="A99" s="13">
        <v>43260</v>
      </c>
      <c r="B99" s="5" t="s">
        <v>629</v>
      </c>
      <c r="C99" s="5">
        <v>1</v>
      </c>
      <c r="D99" s="17">
        <v>120000</v>
      </c>
      <c r="E99" s="17">
        <f t="shared" si="1"/>
        <v>120000</v>
      </c>
    </row>
    <row r="100" spans="1:5" x14ac:dyDescent="0.35">
      <c r="A100" s="13">
        <v>43260</v>
      </c>
      <c r="B100" s="5" t="s">
        <v>407</v>
      </c>
      <c r="C100" s="5">
        <v>6</v>
      </c>
      <c r="D100" s="17">
        <v>3500</v>
      </c>
      <c r="E100" s="17">
        <f t="shared" si="1"/>
        <v>21000</v>
      </c>
    </row>
    <row r="101" spans="1:5" x14ac:dyDescent="0.35">
      <c r="A101" s="13">
        <v>43262</v>
      </c>
      <c r="E101" s="17">
        <f t="shared" si="1"/>
        <v>0</v>
      </c>
    </row>
    <row r="102" spans="1:5" x14ac:dyDescent="0.35">
      <c r="A102" s="13">
        <v>43262</v>
      </c>
      <c r="B102" s="5" t="s">
        <v>30</v>
      </c>
      <c r="C102" s="5">
        <v>1</v>
      </c>
      <c r="D102" s="17">
        <v>47000</v>
      </c>
      <c r="E102" s="17">
        <f t="shared" si="1"/>
        <v>47000</v>
      </c>
    </row>
    <row r="103" spans="1:5" x14ac:dyDescent="0.35">
      <c r="A103" s="13">
        <v>43262</v>
      </c>
      <c r="B103" s="5" t="s">
        <v>280</v>
      </c>
      <c r="C103" s="5">
        <v>1</v>
      </c>
      <c r="D103" s="17">
        <v>46000</v>
      </c>
      <c r="E103" s="17">
        <f t="shared" si="1"/>
        <v>46000</v>
      </c>
    </row>
    <row r="104" spans="1:5" x14ac:dyDescent="0.35">
      <c r="A104" s="13">
        <v>43262</v>
      </c>
      <c r="B104" s="5" t="s">
        <v>4</v>
      </c>
      <c r="C104" s="5">
        <v>4</v>
      </c>
      <c r="D104" s="17">
        <v>38000</v>
      </c>
      <c r="E104" s="17">
        <f t="shared" si="1"/>
        <v>152000</v>
      </c>
    </row>
    <row r="105" spans="1:5" x14ac:dyDescent="0.35">
      <c r="A105" s="13">
        <v>43262</v>
      </c>
      <c r="B105" s="5" t="s">
        <v>136</v>
      </c>
      <c r="C105" s="5">
        <v>3</v>
      </c>
      <c r="D105" s="17">
        <v>57000</v>
      </c>
      <c r="E105" s="17">
        <f t="shared" si="1"/>
        <v>171000</v>
      </c>
    </row>
    <row r="106" spans="1:5" x14ac:dyDescent="0.35">
      <c r="A106" s="13">
        <v>43262</v>
      </c>
      <c r="B106" s="5" t="s">
        <v>433</v>
      </c>
      <c r="C106" s="5">
        <v>2</v>
      </c>
      <c r="D106" s="17">
        <v>56000</v>
      </c>
      <c r="E106" s="17">
        <f t="shared" si="1"/>
        <v>112000</v>
      </c>
    </row>
    <row r="107" spans="1:5" x14ac:dyDescent="0.35">
      <c r="A107" s="13">
        <v>43262</v>
      </c>
      <c r="B107" s="5" t="s">
        <v>634</v>
      </c>
      <c r="C107" s="5">
        <v>2</v>
      </c>
      <c r="D107" s="17">
        <v>52000</v>
      </c>
      <c r="E107" s="17">
        <f t="shared" si="1"/>
        <v>104000</v>
      </c>
    </row>
    <row r="108" spans="1:5" x14ac:dyDescent="0.35">
      <c r="A108" s="13">
        <v>43262</v>
      </c>
      <c r="B108" s="5" t="s">
        <v>33</v>
      </c>
      <c r="C108" s="5">
        <v>3</v>
      </c>
      <c r="D108" s="17">
        <v>49000</v>
      </c>
      <c r="E108" s="17">
        <f t="shared" si="1"/>
        <v>147000</v>
      </c>
    </row>
    <row r="109" spans="1:5" x14ac:dyDescent="0.35">
      <c r="A109" s="13">
        <v>43262</v>
      </c>
      <c r="B109" s="5" t="s">
        <v>33</v>
      </c>
      <c r="C109" s="5">
        <v>6</v>
      </c>
      <c r="D109" s="17">
        <v>49000</v>
      </c>
      <c r="E109" s="17">
        <f t="shared" si="1"/>
        <v>294000</v>
      </c>
    </row>
    <row r="110" spans="1:5" x14ac:dyDescent="0.35">
      <c r="A110" s="13">
        <v>43262</v>
      </c>
      <c r="B110" s="5" t="s">
        <v>6</v>
      </c>
      <c r="C110" s="5">
        <v>10</v>
      </c>
      <c r="D110" s="17">
        <v>53000</v>
      </c>
      <c r="E110" s="17">
        <f t="shared" si="1"/>
        <v>530000</v>
      </c>
    </row>
    <row r="111" spans="1:5" x14ac:dyDescent="0.35">
      <c r="A111" s="13">
        <v>43262</v>
      </c>
      <c r="B111" s="5" t="s">
        <v>160</v>
      </c>
      <c r="C111" s="5">
        <v>2</v>
      </c>
      <c r="D111" s="17">
        <v>55000</v>
      </c>
      <c r="E111" s="17">
        <f t="shared" si="1"/>
        <v>110000</v>
      </c>
    </row>
    <row r="112" spans="1:5" x14ac:dyDescent="0.35">
      <c r="A112" s="13">
        <v>43262</v>
      </c>
      <c r="B112" s="5" t="s">
        <v>633</v>
      </c>
      <c r="C112" s="5">
        <v>17</v>
      </c>
      <c r="D112" s="17">
        <v>2000</v>
      </c>
      <c r="E112" s="17">
        <f t="shared" si="1"/>
        <v>34000</v>
      </c>
    </row>
    <row r="113" spans="1:5" x14ac:dyDescent="0.35">
      <c r="A113" s="13">
        <v>43262</v>
      </c>
      <c r="B113" s="5" t="s">
        <v>118</v>
      </c>
      <c r="C113" s="5">
        <v>7</v>
      </c>
      <c r="D113" s="17">
        <v>45000</v>
      </c>
      <c r="E113" s="17">
        <f t="shared" si="1"/>
        <v>315000</v>
      </c>
    </row>
    <row r="114" spans="1:5" x14ac:dyDescent="0.35">
      <c r="A114" s="13">
        <v>43263</v>
      </c>
      <c r="E114" s="17">
        <f t="shared" si="1"/>
        <v>0</v>
      </c>
    </row>
    <row r="115" spans="1:5" x14ac:dyDescent="0.35">
      <c r="A115" s="13">
        <v>43263</v>
      </c>
      <c r="B115" s="5" t="s">
        <v>635</v>
      </c>
      <c r="C115" s="5">
        <v>1</v>
      </c>
      <c r="D115" s="17">
        <v>29000</v>
      </c>
      <c r="E115" s="17">
        <f t="shared" si="1"/>
        <v>29000</v>
      </c>
    </row>
    <row r="116" spans="1:5" x14ac:dyDescent="0.35">
      <c r="A116" s="13">
        <v>43263</v>
      </c>
      <c r="B116" s="5" t="s">
        <v>110</v>
      </c>
      <c r="C116" s="5">
        <v>6</v>
      </c>
      <c r="D116" s="17">
        <v>45000</v>
      </c>
      <c r="E116" s="17">
        <f t="shared" si="1"/>
        <v>270000</v>
      </c>
    </row>
    <row r="117" spans="1:5" x14ac:dyDescent="0.35">
      <c r="A117" s="13">
        <v>43263</v>
      </c>
      <c r="B117" s="5" t="s">
        <v>34</v>
      </c>
      <c r="C117" s="5">
        <v>11</v>
      </c>
      <c r="D117" s="17">
        <v>48000</v>
      </c>
      <c r="E117" s="17">
        <f t="shared" si="1"/>
        <v>528000</v>
      </c>
    </row>
    <row r="118" spans="1:5" x14ac:dyDescent="0.35">
      <c r="A118" s="13">
        <v>43263</v>
      </c>
      <c r="B118" s="5" t="s">
        <v>636</v>
      </c>
      <c r="C118" s="5">
        <v>2</v>
      </c>
      <c r="D118" s="17">
        <v>57000</v>
      </c>
      <c r="E118" s="17">
        <f t="shared" si="1"/>
        <v>114000</v>
      </c>
    </row>
    <row r="119" spans="1:5" x14ac:dyDescent="0.35">
      <c r="A119" s="13">
        <v>43263</v>
      </c>
      <c r="B119" s="5" t="s">
        <v>636</v>
      </c>
      <c r="C119" s="5">
        <v>1</v>
      </c>
      <c r="D119" s="17">
        <v>57000</v>
      </c>
      <c r="E119" s="17">
        <f t="shared" si="1"/>
        <v>57000</v>
      </c>
    </row>
    <row r="120" spans="1:5" x14ac:dyDescent="0.35">
      <c r="A120" s="13">
        <v>43263</v>
      </c>
      <c r="B120" s="5" t="s">
        <v>321</v>
      </c>
      <c r="C120" s="5">
        <v>1</v>
      </c>
      <c r="D120" s="17">
        <v>53000</v>
      </c>
      <c r="E120" s="17">
        <f t="shared" si="1"/>
        <v>53000</v>
      </c>
    </row>
    <row r="121" spans="1:5" x14ac:dyDescent="0.35">
      <c r="A121" s="13">
        <v>43263</v>
      </c>
      <c r="B121" s="5" t="s">
        <v>29</v>
      </c>
      <c r="C121" s="5">
        <v>1</v>
      </c>
      <c r="D121" s="17">
        <v>54000</v>
      </c>
      <c r="E121" s="17">
        <f t="shared" si="1"/>
        <v>54000</v>
      </c>
    </row>
    <row r="122" spans="1:5" x14ac:dyDescent="0.35">
      <c r="A122" s="13">
        <v>43263</v>
      </c>
      <c r="B122" s="5" t="s">
        <v>404</v>
      </c>
      <c r="C122" s="5">
        <v>12</v>
      </c>
      <c r="D122" s="17">
        <v>48000</v>
      </c>
      <c r="E122" s="17">
        <f t="shared" si="1"/>
        <v>576000</v>
      </c>
    </row>
    <row r="123" spans="1:5" x14ac:dyDescent="0.35">
      <c r="A123" s="13">
        <v>43263</v>
      </c>
      <c r="B123" s="5" t="s">
        <v>34</v>
      </c>
      <c r="C123" s="5">
        <v>40</v>
      </c>
      <c r="D123" s="17">
        <v>48000</v>
      </c>
      <c r="E123" s="17">
        <f t="shared" si="1"/>
        <v>1920000</v>
      </c>
    </row>
    <row r="124" spans="1:5" x14ac:dyDescent="0.35">
      <c r="A124" s="13">
        <v>43263</v>
      </c>
      <c r="B124" s="5" t="s">
        <v>34</v>
      </c>
      <c r="C124" s="5">
        <v>1</v>
      </c>
      <c r="D124" s="17">
        <v>48000</v>
      </c>
      <c r="E124" s="17">
        <f t="shared" si="1"/>
        <v>48000</v>
      </c>
    </row>
    <row r="125" spans="1:5" x14ac:dyDescent="0.35">
      <c r="A125" s="13">
        <v>43263</v>
      </c>
      <c r="B125" s="5" t="s">
        <v>636</v>
      </c>
      <c r="C125" s="5">
        <v>5</v>
      </c>
      <c r="D125" s="17">
        <v>57000</v>
      </c>
      <c r="E125" s="17">
        <f t="shared" si="1"/>
        <v>285000</v>
      </c>
    </row>
    <row r="126" spans="1:5" x14ac:dyDescent="0.35">
      <c r="A126" s="13">
        <v>43264</v>
      </c>
      <c r="E126" s="17">
        <f t="shared" si="1"/>
        <v>0</v>
      </c>
    </row>
    <row r="127" spans="1:5" x14ac:dyDescent="0.35">
      <c r="A127" s="13">
        <v>43264</v>
      </c>
      <c r="B127" s="5" t="s">
        <v>201</v>
      </c>
      <c r="C127" s="5">
        <v>1</v>
      </c>
      <c r="D127" s="17">
        <v>47000</v>
      </c>
      <c r="E127" s="17">
        <f t="shared" si="1"/>
        <v>47000</v>
      </c>
    </row>
    <row r="128" spans="1:5" x14ac:dyDescent="0.35">
      <c r="A128" s="13">
        <v>43264</v>
      </c>
      <c r="B128" s="5" t="s">
        <v>637</v>
      </c>
      <c r="C128" s="5">
        <v>20</v>
      </c>
      <c r="D128" s="17">
        <v>55000</v>
      </c>
      <c r="E128" s="17">
        <f t="shared" si="1"/>
        <v>1100000</v>
      </c>
    </row>
    <row r="129" spans="1:5" x14ac:dyDescent="0.35">
      <c r="A129" s="13">
        <v>43264</v>
      </c>
      <c r="B129" s="5" t="s">
        <v>478</v>
      </c>
      <c r="C129" s="5">
        <v>1</v>
      </c>
      <c r="D129" s="17">
        <v>58000</v>
      </c>
      <c r="E129" s="17">
        <f t="shared" si="1"/>
        <v>58000</v>
      </c>
    </row>
    <row r="130" spans="1:5" x14ac:dyDescent="0.35">
      <c r="A130" s="13">
        <v>43264</v>
      </c>
      <c r="B130" s="5" t="s">
        <v>82</v>
      </c>
      <c r="C130" s="5">
        <v>24</v>
      </c>
      <c r="D130" s="17">
        <v>2000</v>
      </c>
      <c r="E130" s="17">
        <f t="shared" si="1"/>
        <v>48000</v>
      </c>
    </row>
    <row r="131" spans="1:5" x14ac:dyDescent="0.35">
      <c r="A131" s="13">
        <v>43264</v>
      </c>
      <c r="B131" s="5" t="s">
        <v>639</v>
      </c>
      <c r="C131" s="5">
        <v>1</v>
      </c>
      <c r="D131" s="17">
        <v>10000</v>
      </c>
      <c r="E131" s="17">
        <f t="shared" si="1"/>
        <v>10000</v>
      </c>
    </row>
    <row r="132" spans="1:5" x14ac:dyDescent="0.35">
      <c r="A132" s="13">
        <v>43264</v>
      </c>
      <c r="B132" s="5" t="s">
        <v>190</v>
      </c>
      <c r="C132" s="5">
        <v>9</v>
      </c>
      <c r="D132" s="17">
        <v>58000</v>
      </c>
      <c r="E132" s="17">
        <f t="shared" ref="E132:E195" si="2">D132*C132</f>
        <v>522000</v>
      </c>
    </row>
    <row r="133" spans="1:5" x14ac:dyDescent="0.35">
      <c r="A133" s="13">
        <v>43264</v>
      </c>
      <c r="B133" s="5" t="s">
        <v>140</v>
      </c>
      <c r="C133" s="5">
        <v>8</v>
      </c>
      <c r="D133" s="17">
        <v>55000</v>
      </c>
      <c r="E133" s="17">
        <f t="shared" si="2"/>
        <v>440000</v>
      </c>
    </row>
    <row r="134" spans="1:5" x14ac:dyDescent="0.35">
      <c r="A134" s="13">
        <v>43264</v>
      </c>
      <c r="B134" s="5" t="s">
        <v>638</v>
      </c>
      <c r="C134" s="5">
        <v>12</v>
      </c>
      <c r="D134" s="17">
        <v>7500</v>
      </c>
      <c r="E134" s="17">
        <f t="shared" si="2"/>
        <v>90000</v>
      </c>
    </row>
    <row r="135" spans="1:5" x14ac:dyDescent="0.35">
      <c r="A135" s="13">
        <v>43271</v>
      </c>
      <c r="E135" s="17">
        <f t="shared" si="2"/>
        <v>0</v>
      </c>
    </row>
    <row r="136" spans="1:5" x14ac:dyDescent="0.35">
      <c r="A136" s="13">
        <v>43271</v>
      </c>
      <c r="B136" s="5" t="s">
        <v>640</v>
      </c>
      <c r="C136" s="5">
        <v>1</v>
      </c>
      <c r="D136" s="17">
        <v>47000</v>
      </c>
      <c r="E136" s="17">
        <f t="shared" si="2"/>
        <v>47000</v>
      </c>
    </row>
    <row r="137" spans="1:5" x14ac:dyDescent="0.35">
      <c r="A137" s="13">
        <v>43271</v>
      </c>
      <c r="B137" s="5" t="s">
        <v>92</v>
      </c>
      <c r="C137" s="5">
        <v>16</v>
      </c>
      <c r="D137" s="17">
        <v>1600</v>
      </c>
      <c r="E137" s="17">
        <f t="shared" si="2"/>
        <v>25600</v>
      </c>
    </row>
    <row r="138" spans="1:5" x14ac:dyDescent="0.35">
      <c r="A138" s="13">
        <v>43271</v>
      </c>
      <c r="B138" s="5" t="s">
        <v>641</v>
      </c>
      <c r="C138" s="5">
        <v>10</v>
      </c>
      <c r="D138" s="17">
        <v>1600</v>
      </c>
      <c r="E138" s="17">
        <f t="shared" si="2"/>
        <v>16000</v>
      </c>
    </row>
    <row r="139" spans="1:5" x14ac:dyDescent="0.35">
      <c r="A139" s="13">
        <v>43271</v>
      </c>
      <c r="B139" s="5" t="s">
        <v>4</v>
      </c>
      <c r="C139" s="5">
        <v>2</v>
      </c>
      <c r="D139" s="17">
        <v>39000</v>
      </c>
      <c r="E139" s="17">
        <f t="shared" si="2"/>
        <v>78000</v>
      </c>
    </row>
    <row r="140" spans="1:5" x14ac:dyDescent="0.35">
      <c r="A140" s="13">
        <v>43271</v>
      </c>
      <c r="B140" s="5" t="s">
        <v>622</v>
      </c>
      <c r="C140" s="5">
        <v>110</v>
      </c>
      <c r="D140" s="17">
        <v>51500</v>
      </c>
      <c r="E140" s="17">
        <f t="shared" si="2"/>
        <v>5665000</v>
      </c>
    </row>
    <row r="141" spans="1:5" x14ac:dyDescent="0.35">
      <c r="A141" s="13">
        <v>43271</v>
      </c>
      <c r="B141" s="5" t="s">
        <v>404</v>
      </c>
      <c r="C141" s="5">
        <v>15</v>
      </c>
      <c r="D141" s="17">
        <v>43000</v>
      </c>
      <c r="E141" s="17">
        <f t="shared" si="2"/>
        <v>645000</v>
      </c>
    </row>
    <row r="142" spans="1:5" x14ac:dyDescent="0.35">
      <c r="A142" s="13">
        <v>43271</v>
      </c>
      <c r="B142" s="5" t="s">
        <v>60</v>
      </c>
      <c r="C142" s="5">
        <v>6</v>
      </c>
      <c r="D142" s="17">
        <v>49500</v>
      </c>
      <c r="E142" s="17">
        <f t="shared" si="2"/>
        <v>297000</v>
      </c>
    </row>
    <row r="143" spans="1:5" x14ac:dyDescent="0.35">
      <c r="A143" s="13">
        <v>43271</v>
      </c>
      <c r="B143" s="5" t="s">
        <v>190</v>
      </c>
      <c r="C143" s="5">
        <v>1</v>
      </c>
      <c r="D143" s="17">
        <v>58000</v>
      </c>
      <c r="E143" s="17">
        <f t="shared" si="2"/>
        <v>58000</v>
      </c>
    </row>
    <row r="144" spans="1:5" x14ac:dyDescent="0.35">
      <c r="A144" s="13">
        <v>43271</v>
      </c>
      <c r="B144" s="5" t="s">
        <v>3</v>
      </c>
      <c r="C144" s="5">
        <v>22</v>
      </c>
      <c r="D144" s="17">
        <v>56000</v>
      </c>
      <c r="E144" s="17">
        <f t="shared" si="2"/>
        <v>1232000</v>
      </c>
    </row>
    <row r="145" spans="1:5" x14ac:dyDescent="0.35">
      <c r="A145" s="13">
        <v>43271</v>
      </c>
      <c r="B145" s="5" t="s">
        <v>478</v>
      </c>
      <c r="C145" s="5">
        <v>5</v>
      </c>
      <c r="D145" s="17">
        <v>60000</v>
      </c>
      <c r="E145" s="17">
        <f t="shared" si="2"/>
        <v>300000</v>
      </c>
    </row>
    <row r="146" spans="1:5" x14ac:dyDescent="0.35">
      <c r="A146" s="13">
        <v>43271</v>
      </c>
      <c r="B146" s="5" t="s">
        <v>85</v>
      </c>
      <c r="C146" s="5">
        <v>11</v>
      </c>
      <c r="D146" s="17">
        <v>45000</v>
      </c>
      <c r="E146" s="17">
        <f t="shared" si="2"/>
        <v>495000</v>
      </c>
    </row>
    <row r="147" spans="1:5" x14ac:dyDescent="0.35">
      <c r="A147" s="13">
        <v>43271</v>
      </c>
      <c r="B147" s="5" t="s">
        <v>326</v>
      </c>
      <c r="C147" s="5">
        <v>7</v>
      </c>
      <c r="D147" s="17">
        <v>56000</v>
      </c>
      <c r="E147" s="17">
        <f t="shared" si="2"/>
        <v>392000</v>
      </c>
    </row>
    <row r="148" spans="1:5" x14ac:dyDescent="0.35">
      <c r="A148" s="13">
        <v>43271</v>
      </c>
      <c r="B148" s="5" t="s">
        <v>95</v>
      </c>
      <c r="C148" s="5">
        <v>3</v>
      </c>
      <c r="D148" s="17">
        <v>50000</v>
      </c>
      <c r="E148" s="17">
        <f t="shared" si="2"/>
        <v>150000</v>
      </c>
    </row>
    <row r="149" spans="1:5" x14ac:dyDescent="0.35">
      <c r="A149" s="13">
        <v>43271</v>
      </c>
      <c r="B149" s="5" t="s">
        <v>127</v>
      </c>
      <c r="C149" s="5">
        <v>5</v>
      </c>
      <c r="D149" s="17">
        <v>2000</v>
      </c>
      <c r="E149" s="17">
        <f t="shared" si="2"/>
        <v>10000</v>
      </c>
    </row>
    <row r="150" spans="1:5" x14ac:dyDescent="0.35">
      <c r="A150" s="13">
        <v>43271</v>
      </c>
      <c r="B150" s="5" t="s">
        <v>643</v>
      </c>
      <c r="C150" s="5">
        <v>2</v>
      </c>
      <c r="D150" s="17">
        <v>15000</v>
      </c>
      <c r="E150" s="17">
        <f t="shared" si="2"/>
        <v>30000</v>
      </c>
    </row>
    <row r="151" spans="1:5" x14ac:dyDescent="0.35">
      <c r="A151" s="13">
        <v>43271</v>
      </c>
      <c r="B151" s="5" t="s">
        <v>471</v>
      </c>
      <c r="C151" s="5">
        <v>30</v>
      </c>
      <c r="D151" s="17">
        <v>56000</v>
      </c>
      <c r="E151" s="17">
        <f t="shared" si="2"/>
        <v>1680000</v>
      </c>
    </row>
    <row r="152" spans="1:5" x14ac:dyDescent="0.35">
      <c r="A152" s="13">
        <v>43271</v>
      </c>
      <c r="B152" s="5" t="s">
        <v>642</v>
      </c>
      <c r="C152" s="5">
        <v>96</v>
      </c>
      <c r="D152" s="17">
        <v>8000</v>
      </c>
      <c r="E152" s="17">
        <f t="shared" si="2"/>
        <v>768000</v>
      </c>
    </row>
    <row r="153" spans="1:5" x14ac:dyDescent="0.35">
      <c r="A153" s="13">
        <v>43271</v>
      </c>
      <c r="B153" s="5" t="s">
        <v>60</v>
      </c>
      <c r="C153" s="5">
        <v>2</v>
      </c>
      <c r="D153" s="17">
        <v>54000</v>
      </c>
      <c r="E153" s="17">
        <f t="shared" si="2"/>
        <v>108000</v>
      </c>
    </row>
    <row r="154" spans="1:5" x14ac:dyDescent="0.35">
      <c r="A154" s="13">
        <v>43271</v>
      </c>
      <c r="B154" s="5" t="s">
        <v>112</v>
      </c>
      <c r="C154" s="5">
        <v>30</v>
      </c>
      <c r="D154" s="17">
        <v>42000</v>
      </c>
      <c r="E154" s="17">
        <f t="shared" si="2"/>
        <v>1260000</v>
      </c>
    </row>
    <row r="155" spans="1:5" x14ac:dyDescent="0.35">
      <c r="A155" s="13">
        <v>43272</v>
      </c>
      <c r="E155" s="17">
        <f t="shared" si="2"/>
        <v>0</v>
      </c>
    </row>
    <row r="156" spans="1:5" x14ac:dyDescent="0.35">
      <c r="A156" s="13">
        <v>43272</v>
      </c>
      <c r="B156" s="5" t="s">
        <v>478</v>
      </c>
      <c r="C156" s="5">
        <v>1</v>
      </c>
      <c r="D156" s="17">
        <v>60000</v>
      </c>
      <c r="E156" s="17">
        <f t="shared" si="2"/>
        <v>60000</v>
      </c>
    </row>
    <row r="157" spans="1:5" x14ac:dyDescent="0.35">
      <c r="A157" s="13">
        <v>43272</v>
      </c>
      <c r="B157" s="5" t="s">
        <v>178</v>
      </c>
      <c r="C157" s="5">
        <v>20</v>
      </c>
      <c r="D157" s="17">
        <v>48000</v>
      </c>
      <c r="E157" s="17">
        <f t="shared" si="2"/>
        <v>960000</v>
      </c>
    </row>
    <row r="158" spans="1:5" x14ac:dyDescent="0.35">
      <c r="A158" s="13">
        <v>43272</v>
      </c>
      <c r="B158" s="5" t="s">
        <v>7</v>
      </c>
      <c r="C158" s="5">
        <v>5</v>
      </c>
      <c r="D158" s="17">
        <v>48000</v>
      </c>
      <c r="E158" s="17">
        <f t="shared" si="2"/>
        <v>240000</v>
      </c>
    </row>
    <row r="159" spans="1:5" x14ac:dyDescent="0.35">
      <c r="A159" s="13">
        <v>43272</v>
      </c>
      <c r="B159" s="5" t="s">
        <v>606</v>
      </c>
      <c r="C159" s="5">
        <v>2</v>
      </c>
      <c r="D159" s="17">
        <v>45500</v>
      </c>
      <c r="E159" s="17">
        <f t="shared" si="2"/>
        <v>91000</v>
      </c>
    </row>
    <row r="160" spans="1:5" x14ac:dyDescent="0.35">
      <c r="A160" s="13">
        <v>43272</v>
      </c>
      <c r="B160" s="5" t="s">
        <v>382</v>
      </c>
      <c r="C160" s="5">
        <v>1</v>
      </c>
      <c r="D160" s="17">
        <v>56000</v>
      </c>
      <c r="E160" s="17">
        <f t="shared" si="2"/>
        <v>56000</v>
      </c>
    </row>
    <row r="161" spans="1:5" x14ac:dyDescent="0.35">
      <c r="A161" s="13">
        <v>43272</v>
      </c>
      <c r="B161" s="5" t="s">
        <v>224</v>
      </c>
      <c r="C161" s="5">
        <v>2</v>
      </c>
      <c r="D161" s="17">
        <v>52000</v>
      </c>
      <c r="E161" s="17">
        <f t="shared" si="2"/>
        <v>104000</v>
      </c>
    </row>
    <row r="162" spans="1:5" x14ac:dyDescent="0.35">
      <c r="A162" s="13">
        <v>43272</v>
      </c>
      <c r="B162" s="5" t="s">
        <v>188</v>
      </c>
      <c r="C162" s="5">
        <v>3</v>
      </c>
      <c r="D162" s="17">
        <v>48000</v>
      </c>
      <c r="E162" s="17">
        <f t="shared" si="2"/>
        <v>144000</v>
      </c>
    </row>
    <row r="163" spans="1:5" x14ac:dyDescent="0.35">
      <c r="A163" s="13">
        <v>43272</v>
      </c>
      <c r="B163" s="5" t="s">
        <v>446</v>
      </c>
      <c r="C163" s="5">
        <v>5</v>
      </c>
      <c r="D163" s="17">
        <v>48000</v>
      </c>
      <c r="E163" s="17">
        <f t="shared" si="2"/>
        <v>240000</v>
      </c>
    </row>
    <row r="164" spans="1:5" x14ac:dyDescent="0.35">
      <c r="A164" s="13">
        <v>43272</v>
      </c>
      <c r="B164" s="5" t="s">
        <v>215</v>
      </c>
      <c r="C164" s="5">
        <v>14</v>
      </c>
      <c r="D164" s="17">
        <v>47000</v>
      </c>
      <c r="E164" s="17">
        <f t="shared" si="2"/>
        <v>658000</v>
      </c>
    </row>
    <row r="165" spans="1:5" x14ac:dyDescent="0.35">
      <c r="A165" s="13">
        <v>43272</v>
      </c>
      <c r="B165" s="5" t="s">
        <v>324</v>
      </c>
      <c r="C165" s="5">
        <v>7</v>
      </c>
      <c r="D165" s="17">
        <v>47000</v>
      </c>
      <c r="E165" s="17">
        <f t="shared" si="2"/>
        <v>329000</v>
      </c>
    </row>
    <row r="166" spans="1:5" x14ac:dyDescent="0.35">
      <c r="A166" s="13">
        <v>43272</v>
      </c>
      <c r="B166" s="5" t="s">
        <v>272</v>
      </c>
      <c r="C166" s="5">
        <v>50</v>
      </c>
      <c r="D166" s="17">
        <v>3500</v>
      </c>
      <c r="E166" s="17">
        <f t="shared" si="2"/>
        <v>175000</v>
      </c>
    </row>
    <row r="167" spans="1:5" x14ac:dyDescent="0.35">
      <c r="A167" s="13">
        <v>43272</v>
      </c>
      <c r="B167" s="5" t="s">
        <v>646</v>
      </c>
      <c r="C167" s="5">
        <v>25</v>
      </c>
      <c r="D167" s="17">
        <v>3500</v>
      </c>
      <c r="E167" s="17">
        <f t="shared" si="2"/>
        <v>87500</v>
      </c>
    </row>
    <row r="168" spans="1:5" x14ac:dyDescent="0.35">
      <c r="A168" s="13">
        <v>43272</v>
      </c>
      <c r="B168" s="5" t="s">
        <v>645</v>
      </c>
      <c r="C168" s="5">
        <v>50</v>
      </c>
      <c r="D168" s="17">
        <v>45000</v>
      </c>
      <c r="E168" s="17">
        <f t="shared" si="2"/>
        <v>2250000</v>
      </c>
    </row>
    <row r="169" spans="1:5" x14ac:dyDescent="0.35">
      <c r="A169" s="13">
        <v>43272</v>
      </c>
      <c r="B169" s="5" t="s">
        <v>644</v>
      </c>
      <c r="C169" s="5">
        <v>3</v>
      </c>
      <c r="D169" s="17">
        <v>10000</v>
      </c>
      <c r="E169" s="17">
        <f t="shared" si="2"/>
        <v>30000</v>
      </c>
    </row>
    <row r="170" spans="1:5" x14ac:dyDescent="0.35">
      <c r="A170" s="13">
        <v>43273</v>
      </c>
      <c r="E170" s="17">
        <f t="shared" si="2"/>
        <v>0</v>
      </c>
    </row>
    <row r="171" spans="1:5" x14ac:dyDescent="0.35">
      <c r="A171" s="13">
        <v>43273</v>
      </c>
      <c r="B171" s="5" t="s">
        <v>12</v>
      </c>
      <c r="C171" s="5">
        <v>1</v>
      </c>
      <c r="D171" s="17">
        <v>53000</v>
      </c>
      <c r="E171" s="17">
        <f t="shared" si="2"/>
        <v>53000</v>
      </c>
    </row>
    <row r="172" spans="1:5" x14ac:dyDescent="0.35">
      <c r="A172" s="13">
        <v>43273</v>
      </c>
      <c r="B172" s="5" t="s">
        <v>601</v>
      </c>
      <c r="C172" s="5">
        <v>1</v>
      </c>
      <c r="D172" s="17">
        <v>60000</v>
      </c>
      <c r="E172" s="17">
        <f t="shared" si="2"/>
        <v>60000</v>
      </c>
    </row>
    <row r="173" spans="1:5" x14ac:dyDescent="0.35">
      <c r="A173" s="13">
        <v>43273</v>
      </c>
      <c r="B173" s="5" t="s">
        <v>4</v>
      </c>
      <c r="C173" s="5">
        <v>1</v>
      </c>
      <c r="D173" s="17">
        <v>39000</v>
      </c>
      <c r="E173" s="17">
        <f t="shared" si="2"/>
        <v>39000</v>
      </c>
    </row>
    <row r="174" spans="1:5" x14ac:dyDescent="0.35">
      <c r="A174" s="13">
        <v>43273</v>
      </c>
      <c r="B174" s="5" t="s">
        <v>606</v>
      </c>
      <c r="C174" s="5">
        <v>2</v>
      </c>
      <c r="D174" s="17">
        <v>45500</v>
      </c>
      <c r="E174" s="17">
        <f t="shared" si="2"/>
        <v>91000</v>
      </c>
    </row>
    <row r="175" spans="1:5" x14ac:dyDescent="0.35">
      <c r="A175" s="13">
        <v>43273</v>
      </c>
      <c r="B175" s="5" t="s">
        <v>648</v>
      </c>
      <c r="C175" s="5">
        <v>36</v>
      </c>
      <c r="D175" s="17">
        <v>60000</v>
      </c>
      <c r="E175" s="17">
        <f t="shared" si="2"/>
        <v>2160000</v>
      </c>
    </row>
    <row r="176" spans="1:5" x14ac:dyDescent="0.35">
      <c r="A176" s="13">
        <v>43273</v>
      </c>
      <c r="B176" s="5" t="s">
        <v>647</v>
      </c>
      <c r="C176" s="5">
        <v>10</v>
      </c>
      <c r="D176" s="17">
        <v>53000</v>
      </c>
      <c r="E176" s="17">
        <f t="shared" si="2"/>
        <v>530000</v>
      </c>
    </row>
    <row r="177" spans="1:5" x14ac:dyDescent="0.35">
      <c r="A177" s="13">
        <v>43273</v>
      </c>
      <c r="B177" s="5" t="s">
        <v>227</v>
      </c>
      <c r="C177" s="5">
        <v>4</v>
      </c>
      <c r="D177" s="17">
        <v>38000</v>
      </c>
      <c r="E177" s="17">
        <f t="shared" si="2"/>
        <v>152000</v>
      </c>
    </row>
    <row r="178" spans="1:5" x14ac:dyDescent="0.35">
      <c r="A178" s="13">
        <v>43274</v>
      </c>
      <c r="E178" s="17">
        <f t="shared" si="2"/>
        <v>0</v>
      </c>
    </row>
    <row r="179" spans="1:5" x14ac:dyDescent="0.35">
      <c r="A179" s="13">
        <v>43274</v>
      </c>
      <c r="B179" s="5" t="s">
        <v>404</v>
      </c>
      <c r="C179" s="5">
        <v>1</v>
      </c>
      <c r="D179" s="17">
        <v>43000</v>
      </c>
      <c r="E179" s="17">
        <f t="shared" si="2"/>
        <v>43000</v>
      </c>
    </row>
    <row r="180" spans="1:5" x14ac:dyDescent="0.35">
      <c r="A180" s="13">
        <v>43274</v>
      </c>
      <c r="B180" s="5" t="s">
        <v>613</v>
      </c>
      <c r="C180" s="5">
        <v>3</v>
      </c>
      <c r="D180" s="17">
        <v>58000</v>
      </c>
      <c r="E180" s="17">
        <f t="shared" si="2"/>
        <v>174000</v>
      </c>
    </row>
    <row r="181" spans="1:5" x14ac:dyDescent="0.35">
      <c r="A181" s="13">
        <v>43274</v>
      </c>
      <c r="B181" s="5" t="s">
        <v>649</v>
      </c>
      <c r="C181" s="5">
        <v>1</v>
      </c>
      <c r="D181" s="17">
        <v>48000</v>
      </c>
      <c r="E181" s="17">
        <f t="shared" si="2"/>
        <v>48000</v>
      </c>
    </row>
    <row r="182" spans="1:5" x14ac:dyDescent="0.35">
      <c r="A182" s="13">
        <v>43274</v>
      </c>
      <c r="B182" s="5" t="s">
        <v>622</v>
      </c>
      <c r="C182" s="5">
        <v>93</v>
      </c>
      <c r="D182" s="17">
        <v>51500</v>
      </c>
      <c r="E182" s="17">
        <f t="shared" si="2"/>
        <v>4789500</v>
      </c>
    </row>
    <row r="183" spans="1:5" x14ac:dyDescent="0.35">
      <c r="A183" s="13">
        <v>43274</v>
      </c>
      <c r="B183" s="5" t="s">
        <v>60</v>
      </c>
      <c r="C183" s="5">
        <v>10</v>
      </c>
      <c r="D183" s="17">
        <v>49500</v>
      </c>
      <c r="E183" s="17">
        <f t="shared" si="2"/>
        <v>495000</v>
      </c>
    </row>
    <row r="184" spans="1:5" x14ac:dyDescent="0.35">
      <c r="A184" s="13">
        <v>43274</v>
      </c>
      <c r="B184" s="5" t="s">
        <v>540</v>
      </c>
      <c r="C184" s="5">
        <v>4</v>
      </c>
      <c r="D184" s="17">
        <v>56000</v>
      </c>
      <c r="E184" s="17">
        <f t="shared" si="2"/>
        <v>224000</v>
      </c>
    </row>
    <row r="185" spans="1:5" x14ac:dyDescent="0.35">
      <c r="A185" s="13">
        <v>43274</v>
      </c>
      <c r="B185" s="5" t="s">
        <v>56</v>
      </c>
      <c r="C185" s="5">
        <v>16</v>
      </c>
      <c r="D185" s="17">
        <v>8500</v>
      </c>
      <c r="E185" s="17">
        <f t="shared" si="2"/>
        <v>136000</v>
      </c>
    </row>
    <row r="186" spans="1:5" x14ac:dyDescent="0.35">
      <c r="A186" s="13">
        <v>43274</v>
      </c>
      <c r="B186" s="5" t="s">
        <v>25</v>
      </c>
      <c r="C186" s="5">
        <v>2</v>
      </c>
      <c r="D186" s="17">
        <v>54000</v>
      </c>
      <c r="E186" s="17">
        <f t="shared" si="2"/>
        <v>108000</v>
      </c>
    </row>
    <row r="187" spans="1:5" x14ac:dyDescent="0.35">
      <c r="A187" s="13">
        <v>43274</v>
      </c>
      <c r="B187" s="5" t="s">
        <v>650</v>
      </c>
      <c r="C187" s="5">
        <v>1</v>
      </c>
      <c r="D187" s="17">
        <v>47000</v>
      </c>
      <c r="E187" s="17">
        <f t="shared" si="2"/>
        <v>47000</v>
      </c>
    </row>
    <row r="188" spans="1:5" x14ac:dyDescent="0.35">
      <c r="A188" s="13">
        <v>43276</v>
      </c>
      <c r="E188" s="17">
        <f t="shared" si="2"/>
        <v>0</v>
      </c>
    </row>
    <row r="189" spans="1:5" x14ac:dyDescent="0.35">
      <c r="A189" s="13">
        <v>43276</v>
      </c>
      <c r="B189" s="5" t="s">
        <v>160</v>
      </c>
      <c r="C189" s="5">
        <v>17</v>
      </c>
      <c r="D189" s="17">
        <v>56000</v>
      </c>
      <c r="E189" s="17">
        <f t="shared" si="2"/>
        <v>952000</v>
      </c>
    </row>
    <row r="190" spans="1:5" x14ac:dyDescent="0.35">
      <c r="A190" s="13">
        <v>43276</v>
      </c>
      <c r="B190" s="5" t="s">
        <v>483</v>
      </c>
      <c r="C190" s="5">
        <v>2</v>
      </c>
      <c r="D190" s="17">
        <v>54000</v>
      </c>
      <c r="E190" s="17">
        <f t="shared" si="2"/>
        <v>108000</v>
      </c>
    </row>
    <row r="191" spans="1:5" x14ac:dyDescent="0.35">
      <c r="A191" s="13">
        <v>43276</v>
      </c>
      <c r="B191" s="5" t="s">
        <v>56</v>
      </c>
      <c r="C191" s="5">
        <v>30</v>
      </c>
      <c r="D191" s="17">
        <v>8500</v>
      </c>
      <c r="E191" s="17">
        <f t="shared" si="2"/>
        <v>255000</v>
      </c>
    </row>
    <row r="192" spans="1:5" x14ac:dyDescent="0.35">
      <c r="A192" s="13">
        <v>43276</v>
      </c>
      <c r="B192" s="5" t="s">
        <v>136</v>
      </c>
      <c r="C192" s="5">
        <v>4</v>
      </c>
      <c r="D192" s="17">
        <v>57000</v>
      </c>
      <c r="E192" s="17">
        <f t="shared" si="2"/>
        <v>228000</v>
      </c>
    </row>
    <row r="193" spans="1:5" x14ac:dyDescent="0.35">
      <c r="A193" s="13">
        <v>43276</v>
      </c>
      <c r="B193" s="5" t="s">
        <v>118</v>
      </c>
      <c r="C193" s="5">
        <v>80</v>
      </c>
      <c r="D193" s="17">
        <v>42500</v>
      </c>
      <c r="E193" s="17">
        <f t="shared" si="2"/>
        <v>3400000</v>
      </c>
    </row>
    <row r="194" spans="1:5" x14ac:dyDescent="0.35">
      <c r="A194" s="13">
        <v>43276</v>
      </c>
      <c r="B194" s="5" t="s">
        <v>11</v>
      </c>
      <c r="C194" s="5">
        <v>28</v>
      </c>
      <c r="D194" s="17">
        <v>1600</v>
      </c>
      <c r="E194" s="17">
        <f t="shared" si="2"/>
        <v>44800</v>
      </c>
    </row>
    <row r="195" spans="1:5" x14ac:dyDescent="0.35">
      <c r="A195" s="13">
        <v>43276</v>
      </c>
      <c r="B195" s="5" t="s">
        <v>651</v>
      </c>
      <c r="C195" s="5">
        <v>10</v>
      </c>
      <c r="D195" s="17">
        <v>60000</v>
      </c>
      <c r="E195" s="17">
        <f t="shared" si="2"/>
        <v>600000</v>
      </c>
    </row>
    <row r="196" spans="1:5" x14ac:dyDescent="0.35">
      <c r="A196" s="13">
        <v>43276</v>
      </c>
      <c r="B196" s="5" t="s">
        <v>95</v>
      </c>
      <c r="C196" s="5">
        <v>10</v>
      </c>
      <c r="D196" s="17">
        <v>49000</v>
      </c>
      <c r="E196" s="17">
        <f t="shared" ref="E196:E259" si="3">D196*C196</f>
        <v>490000</v>
      </c>
    </row>
    <row r="197" spans="1:5" x14ac:dyDescent="0.35">
      <c r="A197" s="13">
        <v>43276</v>
      </c>
      <c r="B197" s="5" t="s">
        <v>92</v>
      </c>
      <c r="C197" s="5">
        <v>5</v>
      </c>
      <c r="D197" s="17">
        <v>1600</v>
      </c>
      <c r="E197" s="17">
        <f t="shared" si="3"/>
        <v>8000</v>
      </c>
    </row>
    <row r="198" spans="1:5" x14ac:dyDescent="0.35">
      <c r="A198" s="13">
        <v>43276</v>
      </c>
      <c r="B198" s="5" t="s">
        <v>479</v>
      </c>
      <c r="C198" s="5">
        <v>3</v>
      </c>
      <c r="D198" s="17">
        <v>55000</v>
      </c>
      <c r="E198" s="17">
        <f t="shared" si="3"/>
        <v>165000</v>
      </c>
    </row>
    <row r="199" spans="1:5" x14ac:dyDescent="0.35">
      <c r="A199" s="13">
        <v>43276</v>
      </c>
      <c r="B199" s="5" t="s">
        <v>3</v>
      </c>
      <c r="C199" s="5">
        <v>7</v>
      </c>
      <c r="D199" s="17">
        <v>56500</v>
      </c>
      <c r="E199" s="17">
        <f t="shared" si="3"/>
        <v>395500</v>
      </c>
    </row>
    <row r="200" spans="1:5" x14ac:dyDescent="0.35">
      <c r="A200" s="13">
        <v>43276</v>
      </c>
      <c r="B200" s="5" t="s">
        <v>574</v>
      </c>
      <c r="C200" s="5">
        <v>1</v>
      </c>
      <c r="D200" s="17">
        <v>15000</v>
      </c>
      <c r="E200" s="17">
        <f t="shared" si="3"/>
        <v>15000</v>
      </c>
    </row>
    <row r="201" spans="1:5" x14ac:dyDescent="0.35">
      <c r="A201" s="13">
        <v>43276</v>
      </c>
      <c r="B201" s="5" t="s">
        <v>30</v>
      </c>
      <c r="C201" s="5">
        <v>3</v>
      </c>
      <c r="D201" s="17">
        <v>47000</v>
      </c>
      <c r="E201" s="17">
        <f t="shared" si="3"/>
        <v>141000</v>
      </c>
    </row>
    <row r="202" spans="1:5" x14ac:dyDescent="0.35">
      <c r="A202" s="13">
        <v>43276</v>
      </c>
      <c r="B202" s="5" t="s">
        <v>8</v>
      </c>
      <c r="C202" s="5">
        <v>12</v>
      </c>
      <c r="D202" s="17">
        <v>56000</v>
      </c>
      <c r="E202" s="17">
        <f t="shared" si="3"/>
        <v>672000</v>
      </c>
    </row>
    <row r="203" spans="1:5" x14ac:dyDescent="0.35">
      <c r="A203" s="13">
        <v>43276</v>
      </c>
      <c r="B203" s="5" t="s">
        <v>226</v>
      </c>
      <c r="C203" s="5">
        <v>3</v>
      </c>
      <c r="D203" s="17">
        <v>50000</v>
      </c>
      <c r="E203" s="17">
        <f t="shared" si="3"/>
        <v>150000</v>
      </c>
    </row>
    <row r="204" spans="1:5" x14ac:dyDescent="0.35">
      <c r="A204" s="13">
        <v>43276</v>
      </c>
      <c r="B204" s="5" t="s">
        <v>652</v>
      </c>
      <c r="C204" s="5">
        <v>1</v>
      </c>
      <c r="D204" s="17">
        <v>10000</v>
      </c>
      <c r="E204" s="17">
        <f t="shared" si="3"/>
        <v>10000</v>
      </c>
    </row>
    <row r="205" spans="1:5" x14ac:dyDescent="0.35">
      <c r="A205" s="13">
        <v>43276</v>
      </c>
      <c r="B205" s="5" t="s">
        <v>653</v>
      </c>
      <c r="C205" s="5">
        <v>1</v>
      </c>
      <c r="D205" s="17">
        <v>38000</v>
      </c>
      <c r="E205" s="17">
        <f t="shared" si="3"/>
        <v>38000</v>
      </c>
    </row>
    <row r="206" spans="1:5" x14ac:dyDescent="0.35">
      <c r="A206" s="13">
        <v>43277</v>
      </c>
      <c r="E206" s="17">
        <f t="shared" si="3"/>
        <v>0</v>
      </c>
    </row>
    <row r="207" spans="1:5" x14ac:dyDescent="0.35">
      <c r="A207" s="13">
        <v>43277</v>
      </c>
      <c r="B207" s="5" t="s">
        <v>336</v>
      </c>
      <c r="C207" s="5">
        <v>30</v>
      </c>
      <c r="D207" s="17">
        <v>1500</v>
      </c>
      <c r="E207" s="17">
        <f t="shared" si="3"/>
        <v>45000</v>
      </c>
    </row>
    <row r="208" spans="1:5" x14ac:dyDescent="0.35">
      <c r="A208" s="13">
        <v>43277</v>
      </c>
      <c r="B208" s="5" t="s">
        <v>27</v>
      </c>
      <c r="C208" s="5">
        <v>4</v>
      </c>
      <c r="D208" s="17">
        <v>1500</v>
      </c>
      <c r="E208" s="17">
        <f t="shared" si="3"/>
        <v>6000</v>
      </c>
    </row>
    <row r="209" spans="1:5" x14ac:dyDescent="0.35">
      <c r="A209" s="13">
        <v>43277</v>
      </c>
      <c r="B209" s="5" t="s">
        <v>654</v>
      </c>
      <c r="C209" s="5">
        <v>1</v>
      </c>
      <c r="D209" s="17">
        <v>60000</v>
      </c>
      <c r="E209" s="17">
        <f t="shared" si="3"/>
        <v>60000</v>
      </c>
    </row>
    <row r="210" spans="1:5" x14ac:dyDescent="0.35">
      <c r="A210" s="13">
        <v>43277</v>
      </c>
      <c r="B210" s="5" t="s">
        <v>365</v>
      </c>
      <c r="C210" s="5">
        <v>1</v>
      </c>
      <c r="D210" s="17">
        <v>10000</v>
      </c>
      <c r="E210" s="17">
        <f t="shared" si="3"/>
        <v>10000</v>
      </c>
    </row>
    <row r="211" spans="1:5" x14ac:dyDescent="0.35">
      <c r="A211" s="13">
        <v>43277</v>
      </c>
      <c r="B211" s="5" t="s">
        <v>638</v>
      </c>
      <c r="C211" s="5">
        <v>3</v>
      </c>
      <c r="D211" s="17">
        <v>7500</v>
      </c>
      <c r="E211" s="17">
        <f t="shared" si="3"/>
        <v>22500</v>
      </c>
    </row>
    <row r="212" spans="1:5" x14ac:dyDescent="0.35">
      <c r="A212" s="13">
        <v>43277</v>
      </c>
      <c r="B212" s="5" t="s">
        <v>215</v>
      </c>
      <c r="C212" s="5">
        <v>3</v>
      </c>
      <c r="D212" s="17">
        <v>47000</v>
      </c>
      <c r="E212" s="17">
        <f t="shared" si="3"/>
        <v>141000</v>
      </c>
    </row>
    <row r="213" spans="1:5" x14ac:dyDescent="0.35">
      <c r="A213" s="13">
        <v>43277</v>
      </c>
      <c r="B213" s="5" t="s">
        <v>404</v>
      </c>
      <c r="C213" s="5">
        <v>6</v>
      </c>
      <c r="D213" s="17">
        <v>48000</v>
      </c>
      <c r="E213" s="17">
        <f t="shared" si="3"/>
        <v>288000</v>
      </c>
    </row>
    <row r="214" spans="1:5" x14ac:dyDescent="0.35">
      <c r="A214" s="13">
        <v>43277</v>
      </c>
      <c r="B214" s="5" t="s">
        <v>615</v>
      </c>
      <c r="C214" s="5">
        <v>2</v>
      </c>
      <c r="D214" s="17">
        <v>57000</v>
      </c>
      <c r="E214" s="17">
        <f t="shared" si="3"/>
        <v>114000</v>
      </c>
    </row>
    <row r="215" spans="1:5" x14ac:dyDescent="0.35">
      <c r="A215" s="13">
        <v>43277</v>
      </c>
      <c r="B215" s="5" t="s">
        <v>92</v>
      </c>
      <c r="C215" s="5">
        <v>20</v>
      </c>
      <c r="D215" s="17">
        <v>1600</v>
      </c>
      <c r="E215" s="17">
        <f t="shared" si="3"/>
        <v>32000</v>
      </c>
    </row>
    <row r="216" spans="1:5" x14ac:dyDescent="0.35">
      <c r="A216" s="13">
        <v>43277</v>
      </c>
      <c r="B216" s="5" t="s">
        <v>140</v>
      </c>
      <c r="C216" s="5">
        <v>8</v>
      </c>
      <c r="D216" s="17">
        <v>56000</v>
      </c>
      <c r="E216" s="17">
        <f t="shared" si="3"/>
        <v>448000</v>
      </c>
    </row>
    <row r="217" spans="1:5" x14ac:dyDescent="0.35">
      <c r="A217" s="13">
        <v>43277</v>
      </c>
      <c r="B217" s="5" t="s">
        <v>614</v>
      </c>
      <c r="C217" s="5">
        <v>12</v>
      </c>
      <c r="D217" s="17">
        <v>58000</v>
      </c>
      <c r="E217" s="17">
        <f t="shared" si="3"/>
        <v>696000</v>
      </c>
    </row>
    <row r="218" spans="1:5" x14ac:dyDescent="0.35">
      <c r="A218" s="13">
        <v>43278</v>
      </c>
      <c r="E218" s="17">
        <f t="shared" si="3"/>
        <v>0</v>
      </c>
    </row>
    <row r="219" spans="1:5" x14ac:dyDescent="0.35">
      <c r="A219" s="13">
        <v>43278</v>
      </c>
      <c r="B219" s="5" t="s">
        <v>654</v>
      </c>
      <c r="C219" s="5">
        <v>1</v>
      </c>
      <c r="D219" s="17">
        <v>60000</v>
      </c>
      <c r="E219" s="17">
        <f t="shared" si="3"/>
        <v>60000</v>
      </c>
    </row>
    <row r="220" spans="1:5" x14ac:dyDescent="0.35">
      <c r="A220" s="13">
        <v>43278</v>
      </c>
      <c r="B220" s="5" t="s">
        <v>613</v>
      </c>
      <c r="C220" s="5">
        <v>3</v>
      </c>
      <c r="D220" s="17">
        <v>58000</v>
      </c>
      <c r="E220" s="17">
        <f t="shared" si="3"/>
        <v>174000</v>
      </c>
    </row>
    <row r="221" spans="1:5" x14ac:dyDescent="0.35">
      <c r="A221" s="13">
        <v>43278</v>
      </c>
      <c r="B221" s="5" t="s">
        <v>220</v>
      </c>
      <c r="C221" s="5">
        <v>1</v>
      </c>
      <c r="D221" s="17">
        <v>48000</v>
      </c>
      <c r="E221" s="17">
        <f t="shared" si="3"/>
        <v>48000</v>
      </c>
    </row>
    <row r="222" spans="1:5" x14ac:dyDescent="0.35">
      <c r="A222" s="13">
        <v>43278</v>
      </c>
      <c r="B222" s="5" t="s">
        <v>655</v>
      </c>
      <c r="C222" s="5">
        <v>1</v>
      </c>
      <c r="D222" s="17">
        <v>53000</v>
      </c>
      <c r="E222" s="17">
        <f t="shared" si="3"/>
        <v>53000</v>
      </c>
    </row>
    <row r="223" spans="1:5" x14ac:dyDescent="0.35">
      <c r="A223" s="13">
        <v>43278</v>
      </c>
      <c r="B223" s="5" t="s">
        <v>656</v>
      </c>
      <c r="C223" s="5">
        <v>1</v>
      </c>
      <c r="D223" s="17">
        <v>160000</v>
      </c>
      <c r="E223" s="17">
        <f t="shared" si="3"/>
        <v>160000</v>
      </c>
    </row>
    <row r="224" spans="1:5" x14ac:dyDescent="0.35">
      <c r="A224" s="13">
        <v>43278</v>
      </c>
      <c r="B224" s="5" t="s">
        <v>8</v>
      </c>
      <c r="C224" s="5">
        <v>2</v>
      </c>
      <c r="D224" s="17">
        <v>56000</v>
      </c>
      <c r="E224" s="17">
        <f t="shared" si="3"/>
        <v>112000</v>
      </c>
    </row>
    <row r="225" spans="1:5" x14ac:dyDescent="0.35">
      <c r="A225" s="13">
        <v>43278</v>
      </c>
      <c r="B225" s="5" t="s">
        <v>382</v>
      </c>
      <c r="C225" s="5">
        <v>1</v>
      </c>
      <c r="D225" s="17">
        <v>56000</v>
      </c>
      <c r="E225" s="17">
        <f t="shared" si="3"/>
        <v>56000</v>
      </c>
    </row>
    <row r="226" spans="1:5" x14ac:dyDescent="0.35">
      <c r="A226" s="13">
        <v>43278</v>
      </c>
      <c r="B226" s="5" t="s">
        <v>36</v>
      </c>
      <c r="C226" s="5">
        <v>3</v>
      </c>
      <c r="D226" s="17">
        <v>46000</v>
      </c>
      <c r="E226" s="17">
        <f t="shared" si="3"/>
        <v>138000</v>
      </c>
    </row>
    <row r="227" spans="1:5" x14ac:dyDescent="0.35">
      <c r="A227" s="13">
        <v>43278</v>
      </c>
      <c r="B227" s="5" t="s">
        <v>614</v>
      </c>
      <c r="C227" s="5">
        <v>3</v>
      </c>
      <c r="D227" s="17">
        <v>58000</v>
      </c>
      <c r="E227" s="17">
        <f t="shared" si="3"/>
        <v>174000</v>
      </c>
    </row>
    <row r="228" spans="1:5" x14ac:dyDescent="0.35">
      <c r="A228" s="13">
        <v>43278</v>
      </c>
      <c r="B228" s="5" t="s">
        <v>34</v>
      </c>
      <c r="C228" s="5">
        <v>11</v>
      </c>
      <c r="D228" s="17">
        <v>48000</v>
      </c>
      <c r="E228" s="17">
        <f t="shared" si="3"/>
        <v>528000</v>
      </c>
    </row>
    <row r="229" spans="1:5" x14ac:dyDescent="0.35">
      <c r="A229" s="13">
        <v>43278</v>
      </c>
      <c r="B229" s="5" t="s">
        <v>60</v>
      </c>
      <c r="C229" s="5">
        <v>9</v>
      </c>
      <c r="D229" s="17">
        <v>49000</v>
      </c>
      <c r="E229" s="17">
        <f t="shared" si="3"/>
        <v>441000</v>
      </c>
    </row>
    <row r="230" spans="1:5" x14ac:dyDescent="0.35">
      <c r="A230" s="13">
        <v>43279</v>
      </c>
      <c r="E230" s="17">
        <f t="shared" si="3"/>
        <v>0</v>
      </c>
    </row>
    <row r="231" spans="1:5" x14ac:dyDescent="0.35">
      <c r="A231" s="13">
        <v>43279</v>
      </c>
      <c r="B231" s="5" t="s">
        <v>36</v>
      </c>
      <c r="C231" s="5">
        <v>1</v>
      </c>
      <c r="D231" s="17">
        <v>46000</v>
      </c>
      <c r="E231" s="17">
        <f t="shared" si="3"/>
        <v>46000</v>
      </c>
    </row>
    <row r="232" spans="1:5" x14ac:dyDescent="0.35">
      <c r="A232" s="13">
        <v>43279</v>
      </c>
      <c r="B232" s="5" t="s">
        <v>112</v>
      </c>
      <c r="C232" s="5">
        <v>2</v>
      </c>
      <c r="D232" s="17">
        <v>43000</v>
      </c>
      <c r="E232" s="17">
        <f t="shared" si="3"/>
        <v>86000</v>
      </c>
    </row>
    <row r="233" spans="1:5" x14ac:dyDescent="0.35">
      <c r="A233" s="13">
        <v>43279</v>
      </c>
      <c r="B233" s="5" t="s">
        <v>604</v>
      </c>
      <c r="C233" s="5">
        <v>3</v>
      </c>
      <c r="D233" s="17">
        <v>48000</v>
      </c>
      <c r="E233" s="17">
        <f t="shared" si="3"/>
        <v>144000</v>
      </c>
    </row>
    <row r="234" spans="1:5" x14ac:dyDescent="0.35">
      <c r="A234" s="13">
        <v>43279</v>
      </c>
      <c r="B234" s="5" t="s">
        <v>657</v>
      </c>
      <c r="C234" s="5">
        <v>1</v>
      </c>
      <c r="D234" s="17">
        <v>13000</v>
      </c>
      <c r="E234" s="17">
        <f t="shared" si="3"/>
        <v>13000</v>
      </c>
    </row>
    <row r="235" spans="1:5" x14ac:dyDescent="0.35">
      <c r="A235" s="13">
        <v>43279</v>
      </c>
      <c r="B235" s="5" t="s">
        <v>112</v>
      </c>
      <c r="C235" s="5">
        <v>65</v>
      </c>
      <c r="D235" s="17">
        <v>41000</v>
      </c>
      <c r="E235" s="17">
        <f t="shared" si="3"/>
        <v>2665000</v>
      </c>
    </row>
    <row r="236" spans="1:5" x14ac:dyDescent="0.35">
      <c r="A236" s="13">
        <v>43279</v>
      </c>
      <c r="B236" s="5" t="s">
        <v>657</v>
      </c>
      <c r="C236" s="5">
        <v>6</v>
      </c>
      <c r="D236" s="17">
        <v>13000</v>
      </c>
      <c r="E236" s="17">
        <f t="shared" si="3"/>
        <v>78000</v>
      </c>
    </row>
    <row r="237" spans="1:5" x14ac:dyDescent="0.35">
      <c r="A237" s="13">
        <v>43280</v>
      </c>
      <c r="E237" s="17">
        <f t="shared" si="3"/>
        <v>0</v>
      </c>
    </row>
    <row r="238" spans="1:5" x14ac:dyDescent="0.35">
      <c r="A238" s="13">
        <v>43280</v>
      </c>
      <c r="B238" s="5" t="s">
        <v>4</v>
      </c>
      <c r="C238" s="5">
        <v>11</v>
      </c>
      <c r="D238" s="17">
        <v>35000</v>
      </c>
      <c r="E238" s="17">
        <f t="shared" si="3"/>
        <v>385000</v>
      </c>
    </row>
    <row r="239" spans="1:5" x14ac:dyDescent="0.35">
      <c r="A239" s="13">
        <v>43280</v>
      </c>
      <c r="B239" s="5" t="s">
        <v>24</v>
      </c>
      <c r="C239" s="5">
        <v>2</v>
      </c>
      <c r="D239" s="17">
        <v>58000</v>
      </c>
      <c r="E239" s="17">
        <f t="shared" si="3"/>
        <v>116000</v>
      </c>
    </row>
    <row r="240" spans="1:5" x14ac:dyDescent="0.35">
      <c r="A240" s="13">
        <v>43280</v>
      </c>
      <c r="B240" s="5" t="s">
        <v>658</v>
      </c>
      <c r="C240" s="5">
        <v>1</v>
      </c>
      <c r="D240" s="17">
        <v>15000</v>
      </c>
      <c r="E240" s="17">
        <f t="shared" si="3"/>
        <v>15000</v>
      </c>
    </row>
    <row r="241" spans="1:5" x14ac:dyDescent="0.35">
      <c r="A241" s="13">
        <v>43280</v>
      </c>
      <c r="B241" s="5" t="s">
        <v>659</v>
      </c>
      <c r="C241" s="5">
        <v>6</v>
      </c>
      <c r="D241" s="17">
        <v>8500</v>
      </c>
      <c r="E241" s="17">
        <f t="shared" si="3"/>
        <v>51000</v>
      </c>
    </row>
    <row r="242" spans="1:5" x14ac:dyDescent="0.35">
      <c r="A242" s="13">
        <v>43280</v>
      </c>
      <c r="B242" s="5" t="s">
        <v>660</v>
      </c>
      <c r="C242" s="5">
        <v>2</v>
      </c>
      <c r="D242" s="17">
        <v>56000</v>
      </c>
      <c r="E242" s="17">
        <f t="shared" si="3"/>
        <v>112000</v>
      </c>
    </row>
    <row r="243" spans="1:5" x14ac:dyDescent="0.35">
      <c r="A243" s="13">
        <v>43280</v>
      </c>
      <c r="B243" s="5" t="s">
        <v>352</v>
      </c>
      <c r="C243" s="5">
        <v>2</v>
      </c>
      <c r="D243" s="17">
        <v>48000</v>
      </c>
      <c r="E243" s="17">
        <f t="shared" si="3"/>
        <v>96000</v>
      </c>
    </row>
    <row r="244" spans="1:5" x14ac:dyDescent="0.35">
      <c r="A244" s="13">
        <v>43280</v>
      </c>
      <c r="B244" s="5" t="s">
        <v>661</v>
      </c>
      <c r="C244" s="5">
        <v>1</v>
      </c>
      <c r="D244" s="17">
        <v>34500</v>
      </c>
      <c r="E244" s="17">
        <f t="shared" si="3"/>
        <v>34500</v>
      </c>
    </row>
    <row r="245" spans="1:5" x14ac:dyDescent="0.35">
      <c r="A245" s="13">
        <v>43280</v>
      </c>
      <c r="B245" s="5" t="s">
        <v>599</v>
      </c>
      <c r="C245" s="5">
        <v>2</v>
      </c>
      <c r="D245" s="17">
        <v>46000</v>
      </c>
      <c r="E245" s="17">
        <f t="shared" si="3"/>
        <v>92000</v>
      </c>
    </row>
    <row r="246" spans="1:5" x14ac:dyDescent="0.35">
      <c r="A246" s="13">
        <v>43280</v>
      </c>
      <c r="B246" s="5" t="s">
        <v>639</v>
      </c>
      <c r="C246" s="5">
        <v>2</v>
      </c>
      <c r="D246" s="17">
        <v>10000</v>
      </c>
      <c r="E246" s="17">
        <f t="shared" si="3"/>
        <v>20000</v>
      </c>
    </row>
    <row r="247" spans="1:5" x14ac:dyDescent="0.35">
      <c r="A247" s="13">
        <v>43280</v>
      </c>
      <c r="B247" s="5" t="s">
        <v>34</v>
      </c>
      <c r="C247" s="5">
        <v>8</v>
      </c>
      <c r="D247" s="17">
        <v>48000</v>
      </c>
      <c r="E247" s="17">
        <f t="shared" si="3"/>
        <v>384000</v>
      </c>
    </row>
    <row r="248" spans="1:5" x14ac:dyDescent="0.35">
      <c r="A248" s="13">
        <v>43280</v>
      </c>
      <c r="B248" s="5" t="s">
        <v>522</v>
      </c>
      <c r="C248" s="5">
        <v>2</v>
      </c>
      <c r="D248" s="17">
        <v>47000</v>
      </c>
      <c r="E248" s="17">
        <f t="shared" si="3"/>
        <v>94000</v>
      </c>
    </row>
    <row r="249" spans="1:5" x14ac:dyDescent="0.35">
      <c r="A249" s="13">
        <v>43280</v>
      </c>
      <c r="B249" s="5" t="s">
        <v>110</v>
      </c>
      <c r="C249" s="5">
        <v>2</v>
      </c>
      <c r="D249" s="17">
        <v>49000</v>
      </c>
      <c r="E249" s="17">
        <f t="shared" si="3"/>
        <v>98000</v>
      </c>
    </row>
    <row r="250" spans="1:5" x14ac:dyDescent="0.35">
      <c r="A250" s="13">
        <v>43280</v>
      </c>
      <c r="B250" s="5" t="s">
        <v>662</v>
      </c>
      <c r="C250" s="5">
        <v>2</v>
      </c>
      <c r="D250" s="17">
        <v>60000</v>
      </c>
      <c r="E250" s="17">
        <f t="shared" si="3"/>
        <v>120000</v>
      </c>
    </row>
    <row r="251" spans="1:5" x14ac:dyDescent="0.35">
      <c r="A251" s="13">
        <v>43280</v>
      </c>
      <c r="B251" s="5" t="s">
        <v>663</v>
      </c>
      <c r="C251" s="5">
        <v>8</v>
      </c>
      <c r="D251" s="17">
        <v>58000</v>
      </c>
      <c r="E251" s="17">
        <f t="shared" si="3"/>
        <v>464000</v>
      </c>
    </row>
    <row r="252" spans="1:5" x14ac:dyDescent="0.35">
      <c r="A252" s="13">
        <v>43280</v>
      </c>
      <c r="B252" s="5" t="s">
        <v>483</v>
      </c>
      <c r="C252" s="5">
        <v>5</v>
      </c>
      <c r="D252" s="17">
        <v>53000</v>
      </c>
      <c r="E252" s="17">
        <f t="shared" si="3"/>
        <v>265000</v>
      </c>
    </row>
    <row r="253" spans="1:5" x14ac:dyDescent="0.35">
      <c r="A253" s="13">
        <v>43280</v>
      </c>
      <c r="B253" s="5" t="s">
        <v>60</v>
      </c>
      <c r="C253" s="5">
        <v>7</v>
      </c>
      <c r="D253" s="17">
        <v>54000</v>
      </c>
      <c r="E253" s="17">
        <f t="shared" si="3"/>
        <v>378000</v>
      </c>
    </row>
    <row r="254" spans="1:5" x14ac:dyDescent="0.35">
      <c r="A254" s="13">
        <v>43280</v>
      </c>
      <c r="B254" s="5" t="s">
        <v>114</v>
      </c>
      <c r="C254" s="5">
        <v>2</v>
      </c>
      <c r="D254" s="17">
        <v>15000</v>
      </c>
      <c r="E254" s="17">
        <f t="shared" si="3"/>
        <v>30000</v>
      </c>
    </row>
    <row r="255" spans="1:5" x14ac:dyDescent="0.35">
      <c r="A255" s="13">
        <v>43280</v>
      </c>
      <c r="B255" s="5" t="s">
        <v>601</v>
      </c>
      <c r="C255" s="5">
        <v>7</v>
      </c>
      <c r="D255" s="17">
        <v>60000</v>
      </c>
      <c r="E255" s="17">
        <f t="shared" si="3"/>
        <v>420000</v>
      </c>
    </row>
    <row r="256" spans="1:5" x14ac:dyDescent="0.35">
      <c r="A256" s="13">
        <v>43281</v>
      </c>
      <c r="E256" s="17">
        <f t="shared" si="3"/>
        <v>0</v>
      </c>
    </row>
    <row r="257" spans="1:5" x14ac:dyDescent="0.35">
      <c r="A257" s="13">
        <v>43281</v>
      </c>
      <c r="B257" s="5" t="s">
        <v>609</v>
      </c>
      <c r="C257" s="5">
        <v>18</v>
      </c>
      <c r="D257" s="17">
        <v>45000</v>
      </c>
      <c r="E257" s="17">
        <f t="shared" si="3"/>
        <v>810000</v>
      </c>
    </row>
    <row r="258" spans="1:5" x14ac:dyDescent="0.35">
      <c r="A258" s="13">
        <v>43281</v>
      </c>
      <c r="B258" s="5" t="s">
        <v>32</v>
      </c>
      <c r="C258" s="5">
        <v>4</v>
      </c>
      <c r="D258" s="17">
        <v>43500</v>
      </c>
      <c r="E258" s="17">
        <f t="shared" si="3"/>
        <v>174000</v>
      </c>
    </row>
    <row r="259" spans="1:5" x14ac:dyDescent="0.35">
      <c r="A259" s="13">
        <v>43281</v>
      </c>
      <c r="B259" s="5" t="s">
        <v>664</v>
      </c>
      <c r="C259" s="5">
        <v>2</v>
      </c>
      <c r="D259" s="17">
        <v>15000</v>
      </c>
      <c r="E259" s="17">
        <f t="shared" si="3"/>
        <v>30000</v>
      </c>
    </row>
    <row r="260" spans="1:5" x14ac:dyDescent="0.35">
      <c r="A260" s="13">
        <v>43281</v>
      </c>
      <c r="B260" s="5" t="s">
        <v>34</v>
      </c>
      <c r="C260" s="5">
        <v>70</v>
      </c>
      <c r="D260" s="17">
        <v>46500</v>
      </c>
      <c r="E260" s="17">
        <f t="shared" ref="E260:E270" si="4">D260*C260</f>
        <v>3255000</v>
      </c>
    </row>
    <row r="261" spans="1:5" x14ac:dyDescent="0.35">
      <c r="A261" s="13">
        <v>43281</v>
      </c>
      <c r="B261" s="5" t="s">
        <v>160</v>
      </c>
      <c r="C261" s="5">
        <v>4</v>
      </c>
      <c r="D261" s="17">
        <v>56000</v>
      </c>
      <c r="E261" s="17">
        <f t="shared" si="4"/>
        <v>224000</v>
      </c>
    </row>
    <row r="262" spans="1:5" x14ac:dyDescent="0.35">
      <c r="A262" s="13">
        <v>43281</v>
      </c>
      <c r="B262" s="5" t="s">
        <v>540</v>
      </c>
      <c r="C262" s="5">
        <v>4</v>
      </c>
      <c r="D262" s="17">
        <v>56000</v>
      </c>
      <c r="E262" s="17">
        <f t="shared" si="4"/>
        <v>224000</v>
      </c>
    </row>
    <row r="263" spans="1:5" x14ac:dyDescent="0.35">
      <c r="A263" s="13">
        <v>43281</v>
      </c>
      <c r="B263" s="5" t="s">
        <v>8</v>
      </c>
      <c r="C263" s="5">
        <v>1</v>
      </c>
      <c r="D263" s="17">
        <v>56000</v>
      </c>
      <c r="E263" s="17">
        <f t="shared" si="4"/>
        <v>56000</v>
      </c>
    </row>
    <row r="264" spans="1:5" x14ac:dyDescent="0.35">
      <c r="A264" s="13">
        <v>43281</v>
      </c>
      <c r="B264" s="5" t="s">
        <v>95</v>
      </c>
      <c r="C264" s="5">
        <v>3</v>
      </c>
      <c r="D264" s="17">
        <v>50000</v>
      </c>
      <c r="E264" s="17">
        <f t="shared" si="4"/>
        <v>150000</v>
      </c>
    </row>
    <row r="265" spans="1:5" x14ac:dyDescent="0.35">
      <c r="A265" s="13">
        <v>43281</v>
      </c>
      <c r="B265" s="5" t="s">
        <v>659</v>
      </c>
      <c r="C265" s="5">
        <v>21</v>
      </c>
      <c r="D265" s="17">
        <v>8500</v>
      </c>
      <c r="E265" s="17">
        <f t="shared" si="4"/>
        <v>178500</v>
      </c>
    </row>
    <row r="266" spans="1:5" x14ac:dyDescent="0.35">
      <c r="A266" s="13">
        <v>43281</v>
      </c>
      <c r="B266" s="5" t="s">
        <v>530</v>
      </c>
      <c r="C266" s="5">
        <v>3</v>
      </c>
      <c r="D266" s="17">
        <v>42000</v>
      </c>
      <c r="E266" s="17">
        <f t="shared" si="4"/>
        <v>126000</v>
      </c>
    </row>
    <row r="267" spans="1:5" x14ac:dyDescent="0.35">
      <c r="A267" s="13">
        <v>43281</v>
      </c>
      <c r="B267" s="5" t="s">
        <v>583</v>
      </c>
      <c r="C267" s="5">
        <v>6</v>
      </c>
      <c r="D267" s="17">
        <v>47000</v>
      </c>
      <c r="E267" s="17">
        <f t="shared" si="4"/>
        <v>282000</v>
      </c>
    </row>
    <row r="268" spans="1:5" x14ac:dyDescent="0.35">
      <c r="A268" s="13">
        <v>43281</v>
      </c>
      <c r="B268" s="5" t="s">
        <v>404</v>
      </c>
      <c r="C268" s="5">
        <v>22</v>
      </c>
      <c r="D268" s="17">
        <v>47000</v>
      </c>
      <c r="E268" s="17">
        <f t="shared" si="4"/>
        <v>1034000</v>
      </c>
    </row>
    <row r="269" spans="1:5" x14ac:dyDescent="0.35">
      <c r="A269" s="13">
        <v>43281</v>
      </c>
      <c r="B269" s="5" t="s">
        <v>599</v>
      </c>
      <c r="C269" s="5">
        <v>1</v>
      </c>
      <c r="D269" s="17">
        <v>46000</v>
      </c>
      <c r="E269" s="17">
        <f t="shared" si="4"/>
        <v>46000</v>
      </c>
    </row>
    <row r="270" spans="1:5" x14ac:dyDescent="0.35">
      <c r="A270" s="13">
        <v>43281</v>
      </c>
      <c r="B270" s="5" t="s">
        <v>666</v>
      </c>
      <c r="C270" s="5">
        <v>2</v>
      </c>
      <c r="D270" s="17">
        <v>54000</v>
      </c>
      <c r="E270" s="17">
        <f t="shared" si="4"/>
        <v>108000</v>
      </c>
    </row>
  </sheetData>
  <pageMargins left="0.7" right="0.7" top="0.75" bottom="0.75" header="0.3" footer="0.3"/>
  <pageSetup orientation="portrait" horizontalDpi="4294967294" verticalDpi="4294967294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</vt:lpstr>
      <vt:lpstr>feb</vt:lpstr>
      <vt:lpstr>mar</vt:lpstr>
      <vt:lpstr>Apr</vt:lpstr>
      <vt:lpstr>juli</vt:lpstr>
      <vt:lpstr>agst</vt:lpstr>
      <vt:lpstr>Sept</vt:lpstr>
      <vt:lpstr>Mei</vt:lpstr>
      <vt:lpstr>juni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yefta</dc:creator>
  <cp:lastModifiedBy>allisa nurfathiniah</cp:lastModifiedBy>
  <dcterms:created xsi:type="dcterms:W3CDTF">2018-01-02T12:30:30Z</dcterms:created>
  <dcterms:modified xsi:type="dcterms:W3CDTF">2026-05-27T15:48:16Z</dcterms:modified>
</cp:coreProperties>
</file>